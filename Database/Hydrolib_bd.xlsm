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34836028-219A-45E0-A4E2-E125C13F933A}" xr6:coauthVersionLast="47" xr6:coauthVersionMax="47" xr10:uidLastSave="{00000000-0000-0000-0000-000000000000}"/>
  <bookViews>
    <workbookView xWindow="-110" yWindow="-110" windowWidth="25820" windowHeight="14020" firstSheet="2" activeTab="1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5" l="1"/>
  <c r="D3" i="5"/>
  <c r="D4" i="5"/>
  <c r="D5" i="5"/>
  <c r="D6" i="5"/>
  <c r="D7" i="5"/>
  <c r="D8" i="5"/>
  <c r="F8" i="5"/>
  <c r="C8" i="5"/>
  <c r="E2" i="5"/>
  <c r="E3" i="5"/>
  <c r="E4" i="5"/>
  <c r="E5" i="5"/>
  <c r="E6" i="5"/>
  <c r="E7" i="5"/>
  <c r="F3" i="5"/>
  <c r="F7" i="5"/>
  <c r="C7" i="5"/>
  <c r="G8" i="6"/>
  <c r="F8" i="6" s="1"/>
  <c r="D8" i="6"/>
  <c r="C8" i="6"/>
  <c r="F4" i="10"/>
  <c r="D4" i="10"/>
  <c r="C4" i="10"/>
  <c r="C14" i="1"/>
  <c r="D14" i="1"/>
  <c r="E14" i="1"/>
  <c r="F14" i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A171" i="2"/>
  <c r="J47" i="11"/>
  <c r="F47" i="11"/>
  <c r="A47" i="11"/>
  <c r="C5" i="8"/>
  <c r="D5" i="8"/>
  <c r="F5" i="8"/>
  <c r="J39" i="11"/>
  <c r="L39" i="11"/>
  <c r="A39" i="11" s="1"/>
  <c r="A40" i="11"/>
  <c r="F40" i="11"/>
  <c r="J40" i="11"/>
  <c r="L40" i="11"/>
  <c r="A41" i="11"/>
  <c r="F41" i="11"/>
  <c r="J41" i="11"/>
  <c r="L41" i="11"/>
  <c r="A42" i="11"/>
  <c r="F42" i="11"/>
  <c r="J42" i="11"/>
  <c r="L42" i="11"/>
  <c r="A43" i="11"/>
  <c r="F43" i="11"/>
  <c r="J43" i="11"/>
  <c r="L43" i="11"/>
  <c r="A44" i="11"/>
  <c r="F44" i="11"/>
  <c r="J44" i="11"/>
  <c r="L44" i="11"/>
  <c r="A45" i="11"/>
  <c r="F45" i="11"/>
  <c r="J45" i="11"/>
  <c r="L45" i="11"/>
  <c r="A46" i="11"/>
  <c r="F46" i="11"/>
  <c r="J46" i="11"/>
  <c r="L46" i="11"/>
  <c r="A48" i="11"/>
  <c r="F48" i="11"/>
  <c r="J48" i="11"/>
  <c r="C13" i="1"/>
  <c r="D13" i="1"/>
  <c r="E13" i="1"/>
  <c r="F13" i="1"/>
  <c r="C11" i="1"/>
  <c r="C12" i="1"/>
  <c r="D5" i="1"/>
  <c r="D6" i="1"/>
  <c r="D7" i="1"/>
  <c r="D8" i="1"/>
  <c r="D9" i="1"/>
  <c r="D10" i="1"/>
  <c r="D11" i="1"/>
  <c r="D12" i="1"/>
  <c r="E3" i="1"/>
  <c r="E4" i="1"/>
  <c r="E5" i="1"/>
  <c r="E6" i="1"/>
  <c r="E7" i="1"/>
  <c r="E8" i="1"/>
  <c r="E9" i="1"/>
  <c r="E10" i="1"/>
  <c r="E11" i="1"/>
  <c r="E12" i="1"/>
  <c r="F11" i="1"/>
  <c r="F12" i="1"/>
  <c r="D3" i="10"/>
  <c r="D2" i="10"/>
  <c r="C3" i="10"/>
  <c r="F3" i="10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6" i="5"/>
  <c r="C6" i="5"/>
  <c r="F27" i="2"/>
  <c r="F28" i="2"/>
  <c r="F29" i="2"/>
  <c r="F30" i="2"/>
  <c r="F31" i="2"/>
  <c r="F32" i="2"/>
  <c r="F33" i="2"/>
  <c r="F34" i="2"/>
  <c r="F35" i="2"/>
  <c r="F59" i="2" s="1"/>
  <c r="F36" i="2"/>
  <c r="F60" i="2" s="1"/>
  <c r="F37" i="2"/>
  <c r="F38" i="2"/>
  <c r="F39" i="2"/>
  <c r="F40" i="2"/>
  <c r="F41" i="2"/>
  <c r="F42" i="2"/>
  <c r="F43" i="2"/>
  <c r="F44" i="2"/>
  <c r="F45" i="2"/>
  <c r="F46" i="2"/>
  <c r="F70" i="2" s="1"/>
  <c r="A70" i="2" s="1"/>
  <c r="F47" i="2"/>
  <c r="F48" i="2"/>
  <c r="F49" i="2"/>
  <c r="F50" i="2"/>
  <c r="F51" i="2"/>
  <c r="F52" i="2"/>
  <c r="F53" i="2"/>
  <c r="F54" i="2"/>
  <c r="F55" i="2"/>
  <c r="F56" i="2"/>
  <c r="F128" i="2" s="1"/>
  <c r="A128" i="2" s="1"/>
  <c r="F57" i="2"/>
  <c r="F58" i="2"/>
  <c r="F130" i="2" s="1"/>
  <c r="A130" i="2" s="1"/>
  <c r="F62" i="2"/>
  <c r="F67" i="2"/>
  <c r="F68" i="2"/>
  <c r="F69" i="2"/>
  <c r="F71" i="2"/>
  <c r="F72" i="2"/>
  <c r="F73" i="2"/>
  <c r="F26" i="2"/>
  <c r="J13" i="12"/>
  <c r="J14" i="12"/>
  <c r="J15" i="12"/>
  <c r="J16" i="12"/>
  <c r="J17" i="12"/>
  <c r="J18" i="12"/>
  <c r="J19" i="12"/>
  <c r="J20" i="12"/>
  <c r="A3" i="12"/>
  <c r="F3" i="12"/>
  <c r="J3" i="12"/>
  <c r="A4" i="12"/>
  <c r="F4" i="12"/>
  <c r="J4" i="12"/>
  <c r="A5" i="12"/>
  <c r="F5" i="12"/>
  <c r="J5" i="12"/>
  <c r="A6" i="12"/>
  <c r="F6" i="12"/>
  <c r="J6" i="12"/>
  <c r="A7" i="12"/>
  <c r="F7" i="12"/>
  <c r="J7" i="12"/>
  <c r="J8" i="12"/>
  <c r="J9" i="12"/>
  <c r="J10" i="12"/>
  <c r="J11" i="12"/>
  <c r="J12" i="12"/>
  <c r="A2" i="12"/>
  <c r="F2" i="12"/>
  <c r="L9" i="12"/>
  <c r="A9" i="12" s="1"/>
  <c r="L10" i="12"/>
  <c r="L16" i="12" s="1"/>
  <c r="L11" i="12"/>
  <c r="L17" i="12" s="1"/>
  <c r="L12" i="12"/>
  <c r="L18" i="12" s="1"/>
  <c r="L13" i="12"/>
  <c r="F13" i="12" s="1"/>
  <c r="L8" i="12"/>
  <c r="L14" i="12" s="1"/>
  <c r="J2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L25" i="11"/>
  <c r="L37" i="11" s="1"/>
  <c r="L24" i="11"/>
  <c r="L36" i="11" s="1"/>
  <c r="L23" i="11"/>
  <c r="L35" i="11" s="1"/>
  <c r="L22" i="11"/>
  <c r="L34" i="11" s="1"/>
  <c r="L21" i="11"/>
  <c r="L33" i="11" s="1"/>
  <c r="L20" i="11"/>
  <c r="L19" i="11"/>
  <c r="L31" i="11" s="1"/>
  <c r="L18" i="11"/>
  <c r="L17" i="11"/>
  <c r="L16" i="11"/>
  <c r="L28" i="11" s="1"/>
  <c r="L15" i="11"/>
  <c r="L14" i="11"/>
  <c r="L26" i="11" s="1"/>
  <c r="L38" i="11" s="1"/>
  <c r="J2" i="1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3" i="2"/>
  <c r="A44" i="2"/>
  <c r="A45" i="2"/>
  <c r="A46" i="2"/>
  <c r="A47" i="2"/>
  <c r="A48" i="2"/>
  <c r="A49" i="2"/>
  <c r="A150" i="2"/>
  <c r="A166" i="2"/>
  <c r="F170" i="2"/>
  <c r="A170" i="2" s="1"/>
  <c r="F167" i="2"/>
  <c r="F166" i="2"/>
  <c r="F165" i="2"/>
  <c r="F164" i="2"/>
  <c r="F163" i="2"/>
  <c r="F162" i="2"/>
  <c r="A162" i="2" s="1"/>
  <c r="F161" i="2"/>
  <c r="A161" i="2" s="1"/>
  <c r="F160" i="2"/>
  <c r="A160" i="2" s="1"/>
  <c r="F159" i="2"/>
  <c r="A159" i="2" s="1"/>
  <c r="F158" i="2"/>
  <c r="A158" i="2" s="1"/>
  <c r="F157" i="2"/>
  <c r="A157" i="2" s="1"/>
  <c r="F156" i="2"/>
  <c r="F155" i="2"/>
  <c r="A155" i="2" s="1"/>
  <c r="F154" i="2"/>
  <c r="A154" i="2" s="1"/>
  <c r="F153" i="2"/>
  <c r="A153" i="2" s="1"/>
  <c r="F152" i="2"/>
  <c r="F151" i="2"/>
  <c r="F150" i="2"/>
  <c r="F149" i="2"/>
  <c r="F148" i="2"/>
  <c r="F147" i="2"/>
  <c r="F146" i="2"/>
  <c r="A146" i="2" s="1"/>
  <c r="F121" i="2"/>
  <c r="A121" i="2" s="1"/>
  <c r="F119" i="2"/>
  <c r="F118" i="2"/>
  <c r="F117" i="2"/>
  <c r="F108" i="2"/>
  <c r="A108" i="2" s="1"/>
  <c r="F106" i="2"/>
  <c r="A106" i="2" s="1"/>
  <c r="F104" i="2"/>
  <c r="F103" i="2"/>
  <c r="F102" i="2"/>
  <c r="F101" i="2"/>
  <c r="F100" i="2"/>
  <c r="F99" i="2"/>
  <c r="F98" i="2"/>
  <c r="A98" i="2" s="1"/>
  <c r="F96" i="2"/>
  <c r="A96" i="2" s="1"/>
  <c r="F95" i="2"/>
  <c r="A95" i="2" s="1"/>
  <c r="F91" i="2"/>
  <c r="A91" i="2" s="1"/>
  <c r="F90" i="2"/>
  <c r="A90" i="2" s="1"/>
  <c r="F88" i="2"/>
  <c r="F87" i="2"/>
  <c r="F86" i="2"/>
  <c r="F84" i="2"/>
  <c r="F83" i="2"/>
  <c r="F82" i="2"/>
  <c r="A82" i="2" s="1"/>
  <c r="F81" i="2"/>
  <c r="F80" i="2"/>
  <c r="A80" i="2" s="1"/>
  <c r="F79" i="2"/>
  <c r="F78" i="2"/>
  <c r="A78" i="2" s="1"/>
  <c r="F77" i="2"/>
  <c r="A77" i="2" s="1"/>
  <c r="F76" i="2"/>
  <c r="A76" i="2" s="1"/>
  <c r="F75" i="2"/>
  <c r="A75" i="2" s="1"/>
  <c r="F74" i="2"/>
  <c r="A74" i="2" s="1"/>
  <c r="F144" i="2"/>
  <c r="A144" i="2" s="1"/>
  <c r="F143" i="2"/>
  <c r="A143" i="2" s="1"/>
  <c r="A68" i="2"/>
  <c r="F134" i="2"/>
  <c r="F127" i="2"/>
  <c r="A127" i="2" s="1"/>
  <c r="F126" i="2"/>
  <c r="A126" i="2" s="1"/>
  <c r="F125" i="2"/>
  <c r="F116" i="2" s="1"/>
  <c r="F124" i="2"/>
  <c r="F115" i="2" s="1"/>
  <c r="F123" i="2"/>
  <c r="A123" i="2" s="1"/>
  <c r="F122" i="2"/>
  <c r="A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G5" i="6"/>
  <c r="F5" i="6" s="1"/>
  <c r="G4" i="6"/>
  <c r="F4" i="6" s="1"/>
  <c r="F2" i="10"/>
  <c r="C2" i="10"/>
  <c r="F10" i="1"/>
  <c r="C10" i="1"/>
  <c r="F9" i="1"/>
  <c r="C9" i="1"/>
  <c r="C8" i="1"/>
  <c r="F7" i="1"/>
  <c r="C7" i="1"/>
  <c r="F6" i="1"/>
  <c r="C6" i="1"/>
  <c r="F5" i="1"/>
  <c r="C5" i="1"/>
  <c r="F2" i="9"/>
  <c r="C2" i="9"/>
  <c r="B2" i="9"/>
  <c r="B3" i="8"/>
  <c r="D3" i="8"/>
  <c r="D2" i="8"/>
  <c r="C3" i="8"/>
  <c r="F3" i="8"/>
  <c r="C4" i="1"/>
  <c r="D4" i="1"/>
  <c r="F4" i="1"/>
  <c r="K2" i="7"/>
  <c r="F2" i="8"/>
  <c r="C2" i="8"/>
  <c r="C2" i="7"/>
  <c r="B2" i="7"/>
  <c r="F2" i="7"/>
  <c r="G3" i="6"/>
  <c r="F3" i="6" s="1"/>
  <c r="G2" i="6"/>
  <c r="F2" i="6" s="1"/>
  <c r="C2" i="6"/>
  <c r="C5" i="5"/>
  <c r="C4" i="5"/>
  <c r="F2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C2" i="5"/>
  <c r="F3" i="1"/>
  <c r="F2" i="1"/>
  <c r="E2" i="1"/>
  <c r="D3" i="1"/>
  <c r="C3" i="1"/>
  <c r="C2" i="1"/>
  <c r="F39" i="11" l="1"/>
  <c r="F114" i="2"/>
  <c r="A114" i="2" s="1"/>
  <c r="F66" i="2"/>
  <c r="F138" i="2" s="1"/>
  <c r="A138" i="2" s="1"/>
  <c r="A42" i="2"/>
  <c r="F65" i="2"/>
  <c r="A41" i="2"/>
  <c r="F64" i="2"/>
  <c r="A64" i="2" s="1"/>
  <c r="A40" i="2"/>
  <c r="F63" i="2"/>
  <c r="F135" i="2" s="1"/>
  <c r="F61" i="2"/>
  <c r="F133" i="2" s="1"/>
  <c r="F113" i="2"/>
  <c r="L15" i="12"/>
  <c r="A15" i="12" s="1"/>
  <c r="A12" i="12"/>
  <c r="F8" i="12"/>
  <c r="A8" i="12"/>
  <c r="F12" i="12"/>
  <c r="F14" i="12"/>
  <c r="L20" i="12"/>
  <c r="A14" i="12"/>
  <c r="A18" i="12"/>
  <c r="F18" i="12"/>
  <c r="A17" i="12"/>
  <c r="F17" i="12"/>
  <c r="A16" i="12"/>
  <c r="F16" i="12"/>
  <c r="L19" i="12"/>
  <c r="A10" i="12"/>
  <c r="F11" i="12"/>
  <c r="F10" i="12"/>
  <c r="A11" i="12"/>
  <c r="A13" i="12"/>
  <c r="F9" i="12"/>
  <c r="L27" i="11"/>
  <c r="L29" i="11"/>
  <c r="L30" i="11"/>
  <c r="A167" i="2"/>
  <c r="A156" i="2"/>
  <c r="A151" i="2"/>
  <c r="A86" i="2"/>
  <c r="L32" i="11"/>
  <c r="A152" i="2"/>
  <c r="A134" i="2"/>
  <c r="A118" i="2"/>
  <c r="F139" i="2"/>
  <c r="A139" i="2" s="1"/>
  <c r="A102" i="2"/>
  <c r="A100" i="2"/>
  <c r="A81" i="2"/>
  <c r="A65" i="2"/>
  <c r="A54" i="2"/>
  <c r="A115" i="2"/>
  <c r="A116" i="2"/>
  <c r="A113" i="2"/>
  <c r="F142" i="2"/>
  <c r="A104" i="2"/>
  <c r="A88" i="2"/>
  <c r="A72" i="2"/>
  <c r="A56" i="2"/>
  <c r="A135" i="2"/>
  <c r="A119" i="2"/>
  <c r="A103" i="2"/>
  <c r="A87" i="2"/>
  <c r="A71" i="2"/>
  <c r="A55" i="2"/>
  <c r="F129" i="2"/>
  <c r="F145" i="2"/>
  <c r="F89" i="2"/>
  <c r="F105" i="2"/>
  <c r="A165" i="2"/>
  <c r="A149" i="2"/>
  <c r="A133" i="2"/>
  <c r="A117" i="2"/>
  <c r="A101" i="2"/>
  <c r="A69" i="2"/>
  <c r="A53" i="2"/>
  <c r="A148" i="2"/>
  <c r="A84" i="2"/>
  <c r="A52" i="2"/>
  <c r="A164" i="2"/>
  <c r="F131" i="2"/>
  <c r="F107" i="2"/>
  <c r="A163" i="2"/>
  <c r="A147" i="2"/>
  <c r="A99" i="2"/>
  <c r="A83" i="2"/>
  <c r="A67" i="2"/>
  <c r="A51" i="2"/>
  <c r="F132" i="2"/>
  <c r="F92" i="2"/>
  <c r="A66" i="2"/>
  <c r="A50" i="2"/>
  <c r="F109" i="2"/>
  <c r="F94" i="2"/>
  <c r="F110" i="2"/>
  <c r="F93" i="2"/>
  <c r="F111" i="2"/>
  <c r="A79" i="2"/>
  <c r="A63" i="2"/>
  <c r="F136" i="2"/>
  <c r="F112" i="2"/>
  <c r="A62" i="2"/>
  <c r="F137" i="2"/>
  <c r="F168" i="2"/>
  <c r="A125" i="2"/>
  <c r="A61" i="2"/>
  <c r="A124" i="2"/>
  <c r="A60" i="2"/>
  <c r="F169" i="2"/>
  <c r="A59" i="2"/>
  <c r="F140" i="2"/>
  <c r="A58" i="2"/>
  <c r="F141" i="2"/>
  <c r="F85" i="2"/>
  <c r="A73" i="2"/>
  <c r="A57" i="2"/>
  <c r="F15" i="12" l="1"/>
  <c r="A19" i="12"/>
  <c r="F19" i="12"/>
  <c r="A20" i="12"/>
  <c r="F20" i="12"/>
  <c r="A129" i="2"/>
  <c r="F120" i="2"/>
  <c r="A111" i="2"/>
  <c r="A93" i="2"/>
  <c r="A85" i="2"/>
  <c r="A109" i="2"/>
  <c r="A168" i="2"/>
  <c r="A137" i="2"/>
  <c r="A141" i="2"/>
  <c r="A107" i="2"/>
  <c r="F97" i="2"/>
  <c r="A131" i="2"/>
  <c r="A112" i="2"/>
  <c r="A142" i="2"/>
  <c r="A92" i="2"/>
  <c r="A136" i="2"/>
  <c r="A169" i="2"/>
  <c r="A110" i="2"/>
  <c r="A132" i="2"/>
  <c r="A94" i="2"/>
  <c r="A105" i="2"/>
  <c r="A140" i="2"/>
  <c r="A89" i="2"/>
  <c r="A145" i="2"/>
  <c r="A97" i="2" l="1"/>
  <c r="A1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8916FF1C-A253-423D-A1AF-9D40526CC47B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6362F908-F10D-4227-810B-9DCE22DFDE7D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8A8D845B-1E8D-40E4-BA22-6F303D1F67FE}" name="Inductance1" type="4" refreshedVersion="0" background="1">
    <webPr xml="1" sourceData="1" url="D:\Sea_Jackal\Gidro\Pioneer\Boards\Libraries clean\Hydrolib\Database\xml\Inductance.xml" htmlTables="1" htmlFormat="all"/>
  </connection>
  <connection id="10" xr16:uid="{26AADE08-9019-424A-A242-06EEC34A04B1}" name="Inductance2" type="4" refreshedVersion="0" background="1">
    <webPr xml="1" sourceData="1" url="D:\Sea_Jackal\Gidro\Pioneer\Boards\Libraries clean\Hydrolib\Database\xml\Inductance.xml" htmlTables="1" htmlFormat="all"/>
  </connection>
  <connection id="11" xr16:uid="{2FF60889-90F6-4068-BF81-A15AE486C249}" name="Other" type="4" refreshedVersion="0" background="1">
    <webPr xml="1" sourceData="1" url="C:\Users\1\Desktop\testlib\Готовое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<sst xmlns="http://schemas.openxmlformats.org/spreadsheetml/2006/main" count="1568" uniqueCount="208">
  <si>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</si>
  <si>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</si>
  <si>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</si>
  <si>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</si>
  <si>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</si>
  <si>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</si>
  <si>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</si>
  <si>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</si>
  <si>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</si>
  <si>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</si>
  <si>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</si>
  <si>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</si>
  <si>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</si>
  <si>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</si>
  <si>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</si>
  <si>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</si>
  <si>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</si>
  <si>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</si>
  <si>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</si>
  <si>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</si>
  <si>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</si>
  <si>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</si>
  <si>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</si>
  <si>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</si>
  <si>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</si>
  <si>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</si>
  <si>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</si>
  <si>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</si>
  <si>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</si>
  <si>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</si>
  <si>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</si>
  <si>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</si>
  <si>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</si>
  <si>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</si>
  <si>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</si>
  <si>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</si>
  <si>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</si>
  <si>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</si>
  <si>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</si>
  <si>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</si>
  <si>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</si>
  <si>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</si>
  <si>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</si>
  <si>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</si>
  <si>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</si>
  <si>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</si>
  <si>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</si>
  <si>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</si>
  <si>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</si>
  <si>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</si>
  <si>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</si>
  <si>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</si>
  <si>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</si>
  <si>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</si>
  <si>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</si>
  <si>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</si>
  <si>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</si>
  <si>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</si>
  <si>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</si>
  <si>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</si>
  <si>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</si>
  <si>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</si>
  <si>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</si>
  <si>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</si>
  <si>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</si>
  <si>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</si>
  <si>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</si>
  <si>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</si>
  <si>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</si>
  <si>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</si>
  <si>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</si>
  <si>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</si>
  <si>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</si>
  <si>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</si>
  <si>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</si>
  <si>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</si>
  <si>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</si>
  <si>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</si>
  <si>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</si>
  <si>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</si>
  <si>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</si>
  <si>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</si>
  <si>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</si>
  <si>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</si>
  <si>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</si>
  <si>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</si>
  <si>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</si>
  <si>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</si>
  <si>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</si>
  <si>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</si>
  <si>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</si>
  <si>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</si>
  <si>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</si>
  <si>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</si>
  <si>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</si>
  <si>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</si>
  <si>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</si>
  <si>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</si>
  <si>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</si>
  <si>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</si>
  <si>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</si>
  <si>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</si>
  <si>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</si>
  <si>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</si>
  <si>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</si>
  <si>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0603L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</si>
  <si>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</si>
  <si>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</si>
  <si>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</si>
  <si>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</si>
  <si>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</si>
  <si>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</si>
  <si>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</si>
  <si>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</si>
  <si>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</si>
  <si>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</si>
  <si>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</si>
  <si>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</si>
  <si>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</si>
  <si>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</si>
  <si>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</si>
  <si>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</si>
  <si>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</si>
  <si>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</si>
  <si>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</si>
  <si>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</si>
  <si>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</si>
  <si>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</si>
  <si>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</si>
  <si>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</si>
  <si>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</si>
  <si>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</si>
  <si>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</si>
  <si>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</si>
  <si>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</si>
  <si>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</si>
  <si>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</si>
  <si>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</si>
  <si>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</si>
  <si>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</si>
  <si>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</si>
  <si>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</si>
  <si>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</si>
  <si>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</si>
  <si>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</si>
  <si>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</si>
  <si>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</si>
  <si>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9,1</t>
  </si>
  <si>
    <t>Tolerance</t>
  </si>
  <si>
    <t>SOIC-16</t>
  </si>
  <si>
    <t>2,7</t>
  </si>
  <si>
    <t>3,0</t>
  </si>
  <si>
    <t>3,3</t>
  </si>
  <si>
    <t>3,6</t>
  </si>
  <si>
    <t>3,9</t>
  </si>
  <si>
    <t>4,3</t>
  </si>
  <si>
    <t>4,7</t>
  </si>
  <si>
    <t>Dielectric</t>
  </si>
  <si>
    <t>X7R</t>
  </si>
  <si>
    <t>Voltage (V)</t>
  </si>
  <si>
    <t>Capacity (n)</t>
  </si>
  <si>
    <t>Type</t>
  </si>
  <si>
    <t>Tantalum</t>
  </si>
  <si>
    <t>Capacity (u)</t>
  </si>
  <si>
    <t>Schematic\Capacitor_polar.SchLib</t>
  </si>
  <si>
    <t>Танталовый конденсатор</t>
  </si>
  <si>
    <t>8,2</t>
  </si>
  <si>
    <t>ICM42688P</t>
  </si>
  <si>
    <t>6 степенной инерциальный измерительный модуль, гироскоп и акселерометр</t>
  </si>
  <si>
    <t>LGA-14</t>
  </si>
  <si>
    <t>Jumper</t>
  </si>
  <si>
    <t>Запаиваемая перемычка</t>
  </si>
  <si>
    <t>NP0</t>
  </si>
  <si>
    <t>Inductance (uH)</t>
  </si>
  <si>
    <t>Ferrite_bead</t>
  </si>
  <si>
    <t>Ферритовая бусина</t>
  </si>
  <si>
    <t>BLM18AG601SH1</t>
  </si>
  <si>
    <t>1</t>
  </si>
  <si>
    <t>1 мк</t>
  </si>
  <si>
    <t>LGA-12</t>
  </si>
  <si>
    <t>LIS3MDL</t>
  </si>
  <si>
    <t>Магнитометр</t>
  </si>
  <si>
    <t>MCP2551</t>
  </si>
  <si>
    <t>Приёмопередатчик CAN</t>
  </si>
  <si>
    <t>CAN</t>
  </si>
  <si>
    <t>PESD2CAN</t>
  </si>
  <si>
    <t>TVS_2_1dir</t>
  </si>
  <si>
    <t>SMB</t>
  </si>
  <si>
    <t>Защитный диод для линии CAN</t>
  </si>
  <si>
    <t>RADIAL-2_10MM</t>
  </si>
  <si>
    <t>Электролитический конденсатор</t>
  </si>
  <si>
    <t>1206R</t>
  </si>
  <si>
    <t>Footprints/Resistors/1206R.PcbLib</t>
  </si>
  <si>
    <t>MC74AC125DR2</t>
  </si>
  <si>
    <t>SOIC-14</t>
  </si>
  <si>
    <t>68</t>
  </si>
  <si>
    <t>68 мк</t>
  </si>
  <si>
    <t>10x10L</t>
  </si>
  <si>
    <t>Current (mA)</t>
  </si>
  <si>
    <t>CDRH104NP-680MC</t>
  </si>
  <si>
    <t>CWF-6</t>
  </si>
  <si>
    <t>Conn_6pin</t>
  </si>
  <si>
    <t>6-пиновый разъем с ключом</t>
  </si>
  <si>
    <t>WP934MD-LILGD</t>
  </si>
  <si>
    <t>Два угловых светодиода</t>
  </si>
  <si>
    <t>LED_ANGULAR_2</t>
  </si>
  <si>
    <t>LED_ANGULAR</t>
  </si>
  <si>
    <t>Угловой светодиод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</si>
</sst>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 applyBorder="1"/>
    <xf numFmtId="0" fontId="0" fillId="0" borderId="0" xfId="0" applyNumberFormat="1" applyBorder="1"/>
    <xf numFmtId="0" fontId="5" fillId="3" borderId="1" xfId="0" applyFont="1" applyFill="1" applyBorder="1"/>
    <xf numFmtId="0" fontId="4" fillId="2" borderId="1" xfId="0" applyFont="1" applyFill="1" applyBorder="1"/>
    <xf numFmtId="0" fontId="5" fillId="3" borderId="2" xfId="0" applyFont="1" applyFill="1" applyBorder="1"/>
    <xf numFmtId="0" fontId="4" fillId="2" borderId="3" xfId="0" applyFont="1" applyFill="1" applyBorder="1"/>
    <xf numFmtId="49" fontId="4" fillId="2" borderId="3" xfId="0" applyNumberFormat="1" applyFont="1" applyFill="1" applyBorder="1"/>
    <xf numFmtId="0" fontId="4" fillId="2" borderId="2" xfId="0" applyFont="1" applyFill="1" applyBorder="1"/>
    <xf numFmtId="49" fontId="4" fillId="2" borderId="2" xfId="0" applyNumberFormat="1" applyFont="1" applyFill="1" applyBorder="1"/>
    <xf numFmtId="9" fontId="4" fillId="2" borderId="1" xfId="0" applyNumberFormat="1" applyFont="1" applyFill="1" applyBorder="1"/>
    <xf numFmtId="9" fontId="4" fillId="2" borderId="2" xfId="0" applyNumberFormat="1" applyFont="1" applyFill="1" applyBorder="1"/>
    <xf numFmtId="9" fontId="4" fillId="2" borderId="3" xfId="0" applyNumberFormat="1" applyFont="1" applyFill="1" applyBorder="1"/>
    <xf numFmtId="0" fontId="5" fillId="3" borderId="4" xfId="0" applyFont="1" applyFill="1" applyBorder="1"/>
    <xf numFmtId="0" fontId="4" fillId="2" borderId="1" xfId="0" applyNumberFormat="1" applyFont="1" applyFill="1" applyBorder="1"/>
    <xf numFmtId="0" fontId="4" fillId="2" borderId="3" xfId="0" applyNumberFormat="1" applyFont="1" applyFill="1" applyBorder="1"/>
    <xf numFmtId="0" fontId="4" fillId="2" borderId="2" xfId="0" applyNumberFormat="1" applyFont="1" applyFill="1" applyBorder="1"/>
  </cellXfs>
  <cellStyles count="1">
    <cellStyle name="Обычный" xfId="0" builtinId="0"/>
  </cellStyles>
  <dxfs count="105"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Capacity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Inductance" form="unqualified"/>
                  <xsd:element minOccurs="0" nillable="true" type="xsd:string" name="Value" form="unqualified"/>
                  <xsd:element minOccurs="0" nillable="true" type="xsd:integer" name="Current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5" Name="Capacitors_ceramic" RootElement="Capacitors_ceramic" SchemaID="Schema18" ShowImportExportValidationErrors="false" AutoFit="true" Append="false" PreserveSortAFLayout="true" PreserveFormat="true">
    <DataBinding FileBinding="true" ConnectionID="2" DataBindingLoadMode="1"/>
  </Map>
  <Map ID="57" Name="Capacitors_electrolytic" RootElement="Capacitors_electrolytic" SchemaID="Schema16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75" Name="Inductance" RootElement="Inductance" SchemaID="Schema14" ShowImportExportValidationErrors="false" AutoFit="true" Append="false" PreserveSortAFLayout="true" PreserveFormat="true">
    <DataBinding FileBinding="true" ConnectionID="10" DataBindingLoadMode="1"/>
  </Map>
  <Map ID="11" Name="Other" RootElement="Other" SchemaID="Schema11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104" connectionId="6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4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7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102" connectionId="16">
  <autoFilter ref="A1:K5" xr:uid="{35EAFB53-5120-48E8-B7CF-F527619EF3EB}"/>
  <tableColumns count="11">
    <tableColumn id="1" xr3:uid="{8FF51BCB-1CBC-41C4-B0E3-6994AEB249EF}" uniqueName="PartNumber" name="Part Number" dataDxfId="101">
      <xmlColumnPr mapId="6" xpath="/TVS/Part/PartNumber" xmlDataType="string"/>
    </tableColumn>
    <tableColumn id="2" xr3:uid="{254709FF-71DC-4C18-A11E-3F482A74905F}" uniqueName="Description" name="Description" dataDxfId="10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7">
      <xmlColumnPr mapId="6" xpath="/TVS/Part/LibraryRef" xmlDataType="string"/>
    </tableColumn>
    <tableColumn id="6" xr3:uid="{C5C7E783-B9B8-469C-B255-FC24F12E71DC}" uniqueName="FootprintPath1" name="Footprint Path 1" dataDxfId="9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5">
      <xmlColumnPr mapId="6" xpath="/TVS/Part/FootprintRef1" xmlDataType="string"/>
    </tableColumn>
    <tableColumn id="8" xr3:uid="{16B3AEE3-BEA7-4870-9494-F8A0EC5E9CCD}" uniqueName="VoltageNominal" name="Voltage nominal (V)" dataDxfId="94">
      <xmlColumnPr mapId="6" xpath="/TVS/Part/VoltageNominal" xmlDataType="string"/>
    </tableColumn>
    <tableColumn id="9" xr3:uid="{7DDE345A-D145-4A55-B781-91F88095B1FE}" uniqueName="Power" name="Power (W)" dataDxfId="93">
      <xmlColumnPr mapId="6" xpath="/TVS/Part/Power" xmlDataType="string"/>
    </tableColumn>
    <tableColumn id="10" xr3:uid="{EBB777BC-3BC6-4EF4-AC63-F94C7CFCFC0E}" uniqueName="Value" name="Value" dataDxfId="9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1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90" connectionId="15">
  <autoFilter ref="A1:I6" xr:uid="{11DAD5D3-6841-4BFD-8583-65DE6E00D680}"/>
  <tableColumns count="9">
    <tableColumn id="1" xr3:uid="{59488B22-9EFD-4960-9418-72616CC8F6CC}" uniqueName="PartNumber" name="Part Number" dataDxfId="89">
      <xmlColumnPr mapId="8" xpath="/Transistors/Part/PartNumber" xmlDataType="string"/>
    </tableColumn>
    <tableColumn id="2" xr3:uid="{B6051881-2BC5-4D5F-9AEE-A86DF4412A4C}" uniqueName="Description" name="Description" dataDxfId="88">
      <xmlColumnPr mapId="8" xpath="/Transistors/Part/Description" xmlDataType="string"/>
    </tableColumn>
    <tableColumn id="3" xr3:uid="{377CEA9C-B3A1-4F57-920A-BA1AC9164370}" uniqueName="Comment" name="Comment" dataDxfId="87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6">
      <xmlColumnPr mapId="8" xpath="/Transistors/Part/LibraryPath" xmlDataType="string"/>
    </tableColumn>
    <tableColumn id="5" xr3:uid="{02693066-D721-4B47-BEE5-D678B96A10FB}" uniqueName="LibraryRef" name="Library Ref" dataDxfId="85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4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1" tableType="xml" totalsRowShown="0" headerRowDxfId="83" dataDxfId="82" connectionId="13">
  <autoFilter ref="A1:I171" xr:uid="{02061886-A591-4FD8-8C5B-3D1D2DB1F417}"/>
  <tableColumns count="9">
    <tableColumn id="1" xr3:uid="{1DE1C76C-B7F9-47FB-9EB0-156A2D87FD9E}" uniqueName="PartNumber" name="Part Number" dataDxfId="81">
      <calculatedColumnFormula>CONCATENATE("Resistor_",SUBSTITUTE(SUBSTITUTE(SUBSTITUTE(Таблица6[[#This Row],[Value]],",",".")," М","M")," к","k"),"_",Таблица6[[#This Row],[Tolerance]]*100,"_",SUBSTITUTE(Таблица6[[#This Row],[Footprint Ref 1]],"R",""))</calculatedColumnFormula>
      <xmlColumnPr mapId="38" xpath="/Resistors/Part/PartNumber" xmlDataType="string"/>
    </tableColumn>
    <tableColumn id="2" xr3:uid="{64E60790-EB9B-4A0D-B52C-7CB5A6F82DE8}" uniqueName="Description" name="Description" dataDxfId="80">
      <calculatedColumnFormula>CONCATENATE("Резистор номиналом ",Таблица6[[#This Row],[Value]],"Ом и точностью ",Таблица6[[#This Row],[Tolerance]]*100," %")</calculatedColumnFormula>
      <xmlColumnPr mapId="38" xpath="/Resistors/Part/Description" xmlDataType="string"/>
    </tableColumn>
    <tableColumn id="3" xr3:uid="{497E7478-3EE2-4F8D-A572-C738B7321387}" uniqueName="Comment" name="Comment" dataDxfId="79">
      <xmlColumnPr mapId="38" xpath="/Resistors/Part/Comment" xmlDataType="string"/>
    </tableColumn>
    <tableColumn id="4" xr3:uid="{255B034D-70D9-458C-8FA7-FEB8317A497F}" uniqueName="LibraryPath" name="Library Path" dataDxfId="78">
      <xmlColumnPr mapId="38" xpath="/Resistors/Part/LibraryPath" xmlDataType="string"/>
    </tableColumn>
    <tableColumn id="5" xr3:uid="{A3865419-9EA5-4AAA-B07F-FF52D437DC02}" uniqueName="LibraryRef" name="Library Ref" dataDxfId="77">
      <xmlColumnPr mapId="38" xpath="/Resistors/Part/LibraryRef" xmlDataType="string"/>
    </tableColumn>
    <tableColumn id="6" xr3:uid="{CE64E0F7-2F9E-477F-8D1B-040D90CB5685}" uniqueName="Value" name="Value" dataDxfId="76">
      <xmlColumnPr mapId="38" xpath="/Resistors/Part/Value" xmlDataType="string"/>
    </tableColumn>
    <tableColumn id="7" xr3:uid="{41F7703B-5A2D-47F6-B9C9-B9D386FC3CF8}" uniqueName="Tolerance" name="Tolerance" dataDxfId="75">
      <xmlColumnPr mapId="38" xpath="/Resistors/Part/Tolerance" xmlDataType="double"/>
    </tableColumn>
    <tableColumn id="8" xr3:uid="{429E7452-DB30-417B-B5E7-8F2AA238A5A4}" uniqueName="FootprintPath1" name="Footprint Path 1" dataDxfId="74">
      <xmlColumnPr mapId="38" xpath="/Resistors/Part/FootprintPath1" xmlDataType="string"/>
    </tableColumn>
    <tableColumn id="9" xr3:uid="{298A4272-57F5-45C2-AFCD-965909B2DD40}" uniqueName="FootprintRef1" name="Footprint Ref 1" dataDxfId="73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72" dataDxfId="71" connectionId="1">
  <autoFilter ref="A1:T3" xr:uid="{1041C5C1-00FD-47DC-8B7C-9DEBE212D9D4}"/>
  <tableColumns count="20">
    <tableColumn id="1" xr3:uid="{55BDD111-6381-449E-BF2B-3FEC8107762D}" uniqueName="PartNumber" name="Part Number" dataDxfId="70">
      <xmlColumnPr mapId="18" xpath="/Capacitors/Part/PartNumber" xmlDataType="string"/>
    </tableColumn>
    <tableColumn id="2" xr3:uid="{0D3E1F2C-B0CC-4A36-A41B-2F2DAEC98E3B}" uniqueName="Description" name="Description" dataDxfId="69">
      <xmlColumnPr mapId="18" xpath="/Capacitors/Part/Description" xmlDataType="string"/>
    </tableColumn>
    <tableColumn id="3" xr3:uid="{16739D52-8082-4E8D-B1E1-B82F60766E2A}" uniqueName="Comment" name="Comment" dataDxfId="68">
      <xmlColumnPr mapId="18" xpath="/Capacitors/Part/Comment" xmlDataType="string"/>
    </tableColumn>
    <tableColumn id="4" xr3:uid="{AC1F3F2E-0C78-451D-9178-0A9D15C49726}" uniqueName="LibraryPath" name="Library Path" dataDxfId="67">
      <xmlColumnPr mapId="18" xpath="/Capacitors/Part/LibraryPath" xmlDataType="string"/>
    </tableColumn>
    <tableColumn id="5" xr3:uid="{9169ABA3-E41E-40E0-B785-3D3B749D70BB}" uniqueName="LibraryRef" name="Library Ref" dataDxfId="66">
      <xmlColumnPr mapId="18" xpath="/Capacitors/Part/LibraryRef" xmlDataType="string"/>
    </tableColumn>
    <tableColumn id="6" xr3:uid="{01EADD2D-36E6-41EE-B894-B537CCE6649E}" uniqueName="Value" name="Value" dataDxfId="65">
      <xmlColumnPr mapId="18" xpath="/Capacitors/Part/Value" xmlDataType="string"/>
    </tableColumn>
    <tableColumn id="7" xr3:uid="{EC779EF2-47DD-4E8F-A8D2-159E83C79180}" uniqueName="FootprintPath1" name="Footprint Path 1" dataDxfId="64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63">
      <xmlColumnPr mapId="18" xpath="/Capacitors/Part/FootprintRef1" xmlDataType="string"/>
    </tableColumn>
    <tableColumn id="9" xr3:uid="{85136BD9-A68F-40E0-9A6F-E71ECA929F04}" uniqueName="FootprintPath2" name="Footprint Path 2" dataDxfId="62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61">
      <xmlColumnPr mapId="18" xpath="/Capacitors/Part/FootprintRef2" xmlDataType="string"/>
    </tableColumn>
    <tableColumn id="11" xr3:uid="{50FA7750-FC9E-444C-8D52-C6B51BBD63C1}" uniqueName="FootprintPath3" name="Footprint Path 3" dataDxfId="60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59">
      <xmlColumnPr mapId="18" xpath="/Capacitors/Part/FootprintRef3" xmlDataType="string"/>
    </tableColumn>
    <tableColumn id="13" xr3:uid="{6B23463C-82AA-426D-ACBC-49A19C1D46FA}" uniqueName="FootprintPath4" name="Footprint Path 4" dataDxfId="58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57">
      <xmlColumnPr mapId="18" xpath="/Capacitors/Part/FootprintRef4" xmlDataType="string"/>
    </tableColumn>
    <tableColumn id="15" xr3:uid="{FD0F620C-73A8-49FB-B6E9-F06F81ED3185}" uniqueName="FootprintPath5" name="Footprint Path 5" dataDxfId="56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55">
      <xmlColumnPr mapId="18" xpath="/Capacitors/Part/FootprintRef5" xmlDataType="string"/>
    </tableColumn>
    <tableColumn id="17" xr3:uid="{130B1CD3-35EC-447E-93DF-ED8F8DC7A59A}" uniqueName="FootprintPath6" name="Footprint Path 6" dataDxfId="54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53">
      <xmlColumnPr mapId="18" xpath="/Capacitors/Part/FootprintRef6" xmlDataType="string"/>
    </tableColumn>
    <tableColumn id="19" xr3:uid="{6809872D-01AC-4EF6-B33F-6B8DA2D054C9}" uniqueName="FootprintPath7" name="Footprint Path 7" dataDxfId="52">
      <xmlColumnPr mapId="18" xpath="/Capacitors/Part/FootprintPath7" xmlDataType="string"/>
    </tableColumn>
    <tableColumn id="20" xr3:uid="{352E5BAE-89D3-4F1C-AA92-CDC22EDD2B11}" uniqueName="FootprintRef7" name="Footprint Ref 7" dataDxfId="51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8D1F98-A9F5-4A73-9AF6-F1958A2298E5}" name="Таблица11" displayName="Таблица11" ref="A1:L48" tableType="xml" totalsRowShown="0" headerRowDxfId="50" dataDxfId="48" headerRowBorderDxfId="49" tableBorderDxfId="47" totalsRowBorderDxfId="46" connectionId="2">
  <autoFilter ref="A1:L48" xr:uid="{878D1F98-A9F5-4A73-9AF6-F1958A2298E5}"/>
  <tableColumns count="12">
    <tableColumn id="1" xr3:uid="{BE360A92-309D-442F-8CF6-729301B48AF1}" uniqueName="PartNumber" name="Part Number" dataDxfId="45">
      <calculatedColumnFormula>CONCATENATE("Capacitor_",IF(Таблица11[[#This Row],[Capacity (n)]]&lt;=0.1,CONCATENATE(L2*1000,"p"),IF(L2&gt;=100,CONCATENATE(L2/1000,"u"),CONCATENATE(L2,"n"))),"_",G2*100,"_",H2,"V_",I2,"_",K2)</calculatedColumnFormula>
      <xmlColumnPr mapId="45" xpath="/Capacitors_ceramic/Part/PartNumber" xmlDataType="string"/>
    </tableColumn>
    <tableColumn id="2" xr3:uid="{AD352F9D-F418-4F3C-B18E-91418F2F0813}" uniqueName="Description" name="Description" dataDxfId="44">
      <xmlColumnPr mapId="45" xpath="/Capacitors_ceramic/Part/Description" xmlDataType="string"/>
    </tableColumn>
    <tableColumn id="3" xr3:uid="{E08E8E74-38D4-40B3-9230-6DE8921F9C02}" uniqueName="Comment" name="Comment" dataDxfId="43">
      <xmlColumnPr mapId="45" xpath="/Capacitors_ceramic/Part/Comment" xmlDataType="string"/>
    </tableColumn>
    <tableColumn id="4" xr3:uid="{F38C19B8-8D74-411E-8747-24F38CF943EA}" uniqueName="LibraryPath" name="Library Path" dataDxfId="42">
      <xmlColumnPr mapId="45" xpath="/Capacitors_ceramic/Part/LibraryPath" xmlDataType="string"/>
    </tableColumn>
    <tableColumn id="5" xr3:uid="{6944D1FB-F5AD-495C-95FD-8B0035ED7A14}" uniqueName="LibraryRef" name="Library Ref" dataDxfId="41">
      <xmlColumnPr mapId="45" xpath="/Capacitors_ceramic/Part/LibraryRef" xmlDataType="string"/>
    </tableColumn>
    <tableColumn id="6" xr3:uid="{1AE28532-F95A-4C28-952F-693866B98F0F}" uniqueName="Value" name="Value" dataDxfId="40">
      <calculatedColumnFormula>IF(Таблица11[[#This Row],[Capacity (n)]]&lt;=0.1,CONCATENATE(L2*1000," п"),IF(L2&gt;=100,CONCATENATE(L2/1000," мк"),CONCATENATE(L2," н")))</calculatedColumnFormula>
      <xmlColumnPr mapId="45" xpath="/Capacitors_ceramic/Part/Value" xmlDataType="string"/>
    </tableColumn>
    <tableColumn id="7" xr3:uid="{FA37C061-DD7D-4E21-8FC5-D692A5318427}" uniqueName="Tolerance" name="Tolerance" dataDxfId="39">
      <xmlColumnPr mapId="45" xpath="/Capacitors_ceramic/Part/Tolerance" xmlDataType="string"/>
    </tableColumn>
    <tableColumn id="8" xr3:uid="{D333A99C-6562-4026-8ADA-54727E1BD30D}" uniqueName="Voltage" name="Voltage (V)" dataDxfId="38">
      <xmlColumnPr mapId="45" xpath="/Capacitors_ceramic/Part/Voltage" xmlDataType="integer"/>
    </tableColumn>
    <tableColumn id="9" xr3:uid="{BE8C07E6-0880-49FE-8DF7-8B6AFCB9E312}" uniqueName="Dielectric" name="Dielectric" dataDxfId="37">
      <xmlColumnPr mapId="45" xpath="/Capacitors_ceramic/Part/Dielectric" xmlDataType="string"/>
    </tableColumn>
    <tableColumn id="10" xr3:uid="{965F9C71-8990-494A-B08B-38C24AC2C990}" uniqueName="FootprintPath1" name="Footprint Path 1" dataDxfId="36">
      <calculatedColumnFormula>CONCATENATE("Footprints\Capacitors\",K2,".PcbLib")</calculatedColumnFormula>
      <xmlColumnPr mapId="45" xpath="/Capacitors_ceramic/Part/FootprintPath1" xmlDataType="string"/>
    </tableColumn>
    <tableColumn id="11" xr3:uid="{A14C42E6-9DA2-4E8F-8FE0-72A38F9A412A}" uniqueName="FootprintRef1" name="Footprint Ref 1" dataDxfId="35">
      <xmlColumnPr mapId="45" xpath="/Capacitors_ceramic/Part/FootprintRef1" xmlDataType="string"/>
    </tableColumn>
    <tableColumn id="12" xr3:uid="{E9E08CA3-8A6C-4F56-B970-7EB4C6C35FCF}" uniqueName="Capacity" name="Capacity (n)" dataDxfId="34">
      <xmlColumnPr mapId="45" xpath="/Capacitors_ceramic/Part/Capacity" xmlDataType="integer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D00D2D-C6EB-4F9B-A6A8-00DC8F91BA2B}" name="Таблица12" displayName="Таблица12" ref="A1:L20" tableType="xml" totalsRowShown="0" headerRowDxfId="33" dataDxfId="31" headerRowBorderDxfId="32" tableBorderDxfId="30" totalsRowBorderDxfId="29" connectionId="3">
  <autoFilter ref="A1:L20" xr:uid="{FCD00D2D-C6EB-4F9B-A6A8-00DC8F91BA2B}"/>
  <tableColumns count="12">
    <tableColumn id="1" xr3:uid="{E159CA3E-255F-4F03-A010-059B7D4B1CF1}" uniqueName="PartNumber" name="Part Number" dataDxfId="28">
      <calculatedColumnFormula>CONCATENATE("Capacitor_",CONCATENATE(L2,"u"),"_",G2*100,"_",H2,"V_",K2)</calculatedColumnFormula>
      <xmlColumnPr mapId="57" xpath="/Capacitors_electrolytic/Part/PartNumber" xmlDataType="string"/>
    </tableColumn>
    <tableColumn id="2" xr3:uid="{7B7FCBE8-3722-4403-B204-6313435549B4}" uniqueName="Description" name="Description" dataDxfId="27">
      <xmlColumnPr mapId="57" xpath="/Capacitors_electrolytic/Part/Description" xmlDataType="string"/>
    </tableColumn>
    <tableColumn id="3" xr3:uid="{A6B64D2B-973B-40E8-9F76-77B66E4C01CA}" uniqueName="Comment" name="Comment" dataDxfId="26">
      <xmlColumnPr mapId="57" xpath="/Capacitors_electrolytic/Part/Comment" xmlDataType="string"/>
    </tableColumn>
    <tableColumn id="4" xr3:uid="{322A8959-F378-4FB1-93AE-7F327A18586C}" uniqueName="LibraryPath" name="Library Path" dataDxfId="25">
      <xmlColumnPr mapId="57" xpath="/Capacitors_electrolytic/Part/LibraryPath" xmlDataType="string"/>
    </tableColumn>
    <tableColumn id="5" xr3:uid="{AAF7CA4D-2920-47CB-9DAD-FEA97A4102DD}" uniqueName="LibraryRef" name="Library Ref" dataDxfId="24">
      <xmlColumnPr mapId="57" xpath="/Capacitors_electrolytic/Part/LibraryRef" xmlDataType="string"/>
    </tableColumn>
    <tableColumn id="6" xr3:uid="{4B2560A0-0C57-44BE-8348-F3BEEBE6D3F6}" uniqueName="Value" name="Value" dataDxfId="23">
      <calculatedColumnFormula>CONCATENATE(L2," мк")</calculatedColumnFormula>
      <xmlColumnPr mapId="57" xpath="/Capacitors_electrolytic/Part/Value" xmlDataType="string"/>
    </tableColumn>
    <tableColumn id="7" xr3:uid="{9796EF9F-B7F4-4C28-B1FE-C503BEA67D09}" uniqueName="Tolerance" name="Tolerance" dataDxfId="22">
      <xmlColumnPr mapId="57" xpath="/Capacitors_electrolytic/Part/Tolerance" xmlDataType="double"/>
    </tableColumn>
    <tableColumn id="8" xr3:uid="{41219E0C-6D00-4C09-BDBE-A0DFE5D27C61}" uniqueName="Voltage" name="Voltage (V)" dataDxfId="21">
      <xmlColumnPr mapId="57" xpath="/Capacitors_electrolytic/Part/Voltage" xmlDataType="integer"/>
    </tableColumn>
    <tableColumn id="9" xr3:uid="{75D529AC-2D48-4F0A-9689-CEB08E441DE2}" uniqueName="Type" name="Type" dataDxfId="20">
      <xmlColumnPr mapId="57" xpath="/Capacitors_electrolytic/Part/Type" xmlDataType="string"/>
    </tableColumn>
    <tableColumn id="10" xr3:uid="{3CCDF7A9-C357-4FF8-83DA-5B8FA9F06660}" uniqueName="FootprintPath1" name="Footprint Path 1" dataDxfId="19">
      <calculatedColumnFormula>CONCATENATE("Footprints\Capacitors\",K2,".PcbLib")</calculatedColumnFormula>
      <xmlColumnPr mapId="57" xpath="/Capacitors_electrolytic/Part/FootprintPath1" xmlDataType="string"/>
    </tableColumn>
    <tableColumn id="11" xr3:uid="{3793F788-3BDB-4D4F-9AE1-53E736048502}" uniqueName="FootprintRef1" name="Footprint Ref 1" dataDxfId="18">
      <xmlColumnPr mapId="57" xpath="/Capacitors_electrolytic/Part/FootprintRef1" xmlDataType="string"/>
    </tableColumn>
    <tableColumn id="12" xr3:uid="{A16C20C1-3CAA-4C3D-96C6-A48015F66434}" uniqueName="Capacity" name="Capacity (u)" dataDxfId="17">
      <xmlColumnPr mapId="57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J4" tableType="xml" totalsRowShown="0" headerRowDxfId="16" connectionId="10">
  <autoFilter ref="A1:J4" xr:uid="{495ACB2B-3C85-4F71-84FF-CAC97F2B3EF2}"/>
  <tableColumns count="10">
    <tableColumn id="1" xr3:uid="{4F8F63B8-3A4B-4AE4-B421-1BAE93F6BD1F}" uniqueName="PartNumber" name="Part Number">
      <xmlColumnPr mapId="75" xpath="/Inductance/Part/PartNumber" xmlDataType="string"/>
    </tableColumn>
    <tableColumn id="2" xr3:uid="{F21E8DDA-9A5D-4FAB-8B15-416C8B37F128}" uniqueName="Description" name="Description">
      <xmlColumnPr mapId="75" xpath="/Inductance/Part/Description" xmlDataType="string"/>
    </tableColumn>
    <tableColumn id="3" xr3:uid="{31E5D42E-C1C1-47D6-BF83-ADB5E383E42F}" uniqueName="Comment" name="Comment">
      <calculatedColumnFormula>A2</calculatedColumnFormula>
      <xmlColumnPr mapId="75" xpath="/Inductance/Part/Comment" xmlDataType="string"/>
    </tableColumn>
    <tableColumn id="4" xr3:uid="{7C7FE73A-35EF-44CB-A066-BD67518B756B}" uniqueName="LibraryPath" name="Library Path" dataDxfId="15">
      <xmlColumnPr mapId="75" xpath="/Inductance/Part/LibraryPath" xmlDataType="string"/>
    </tableColumn>
    <tableColumn id="5" xr3:uid="{93EF5672-D820-4E85-A99E-63FC29E4B3E2}" uniqueName="LibraryRef" name="Library Ref">
      <xmlColumnPr mapId="75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75" xpath="/Inductance/Part/FootprintPath1" xmlDataType="string"/>
    </tableColumn>
    <tableColumn id="7" xr3:uid="{49B409CD-94AC-4F2C-BC5E-E8FF519C8D6F}" uniqueName="FootprintRef1" name="Footprint Ref 1">
      <xmlColumnPr mapId="75" xpath="/Inductance/Part/FootprintRef1" xmlDataType="string"/>
    </tableColumn>
    <tableColumn id="8" xr3:uid="{71017A8D-C83B-4D64-80AC-6C5EC84419D6}" uniqueName="Inductance" name="Inductance (uH)">
      <xmlColumnPr mapId="75" xpath="/Inductance/Part/Inductance" xmlDataType="integer"/>
    </tableColumn>
    <tableColumn id="9" xr3:uid="{C86E75F1-D335-4444-9B57-0EA51020BBA8}" uniqueName="Value" name="Value">
      <xmlColumnPr mapId="75" xpath="/Inductance/Part/Value" xmlDataType="string"/>
    </tableColumn>
    <tableColumn id="10" xr3:uid="{AD126830-B2E8-4781-93DF-9ECA03BA13EE}" uniqueName="Current" name="Current (mA)">
      <xmlColumnPr mapId="75" xpath="/Inductance/Part/Current" xmlDataType="integer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8" tableType="xml" totalsRowShown="0" headerRowDxfId="14" dataDxfId="13" connectionId="11">
  <autoFilter ref="A1:I8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0">
      <calculatedColumnFormula>CONCATENATE("Schematic\",Таблица8[[#This Row],[Library Ref]],".SchLib")</calculatedColumnFormula>
      <xmlColumnPr mapId="11" xpath="/Other/Part/LibraryPath" xmlDataType="string"/>
    </tableColumn>
    <tableColumn id="5" xr3:uid="{DEAA0346-D720-43E0-9F6E-0E8FAE6BA472}" uniqueName="LibraryRef" name="Library Ref" dataDxfId="9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8">
      <xmlColumnPr mapId="11" xpath="/Other/Part/FootprintPath1" xmlDataType="string"/>
    </tableColumn>
    <tableColumn id="7" xr3:uid="{78484622-732C-4ACF-9F43-B1AC2CDD73FA}" uniqueName="FootprintRef1" name="Footprint Ref 1" dataDxfId="7">
      <xmlColumnPr mapId="11" xpath="/Other/Part/FootprintRef1" xmlDataType="string"/>
    </tableColumn>
    <tableColumn id="8" xr3:uid="{9B1D9BE1-3884-44C5-88CA-6A2CCE154C24}" uniqueName="FootprintPath2" name="Footprint Path 2" dataDxfId="6">
      <xmlColumnPr mapId="11" xpath="/Other/Part/FootprintPath2" xmlDataType="string"/>
    </tableColumn>
    <tableColumn id="9" xr3:uid="{41DD9B28-B52E-42E2-980C-18F4A1B9EC96}" uniqueName="FootprintRef2" name="Footprint Ref 2" dataDxfId="5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8" tableType="xml" totalsRowShown="0" headerRowDxfId="4" connectionId="7">
  <autoFilter ref="A1:G8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3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2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workbookViewId="0">
      <selection activeCell="G15" sqref="G15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 t="shared" ref="E3:E12" si="0"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 t="shared" si="0"/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2" si="1">A5</f>
        <v>STM32F103C8T6</v>
      </c>
      <c r="D5" s="2" t="str">
        <f t="shared" ref="D5:D12" si="2">CONCATENATE("Schematic\",A5,".SchLib")</f>
        <v>Schematic\STM32F103C8T6.SchLib</v>
      </c>
      <c r="E5" s="2" t="str">
        <f t="shared" si="0"/>
        <v>STM32F103C8T6</v>
      </c>
      <c r="F5" t="str">
        <f t="shared" ref="F5:F12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1"/>
        <v>LM2594HVM-ADJ</v>
      </c>
      <c r="D6" s="2" t="str">
        <f t="shared" si="2"/>
        <v>Schematic\LM2594HVM-ADJ.SchLib</v>
      </c>
      <c r="E6" s="2" t="str">
        <f t="shared" si="0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1"/>
        <v>LD1117S33CTR</v>
      </c>
      <c r="D7" s="2" t="str">
        <f t="shared" si="2"/>
        <v>Schematic\LD1117S33CTR.SchLib</v>
      </c>
      <c r="E7" s="2" t="str">
        <f t="shared" si="0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1"/>
        <v>CD4050B</v>
      </c>
      <c r="D8" s="2" t="str">
        <f t="shared" si="2"/>
        <v>Schematic\CD4050B.SchLib</v>
      </c>
      <c r="E8" s="2" t="str">
        <f t="shared" si="0"/>
        <v>CD4050B</v>
      </c>
      <c r="F8" t="str">
        <f>CONCATENATE("Footprints\",G8,".PcbLib")</f>
        <v>Footprints\SOIC-16.PcbLib</v>
      </c>
      <c r="G8" t="s">
        <v>149</v>
      </c>
    </row>
    <row r="9" spans="1:20" x14ac:dyDescent="0.35">
      <c r="A9" t="s">
        <v>99</v>
      </c>
      <c r="B9" t="s">
        <v>100</v>
      </c>
      <c r="C9" s="2" t="str">
        <f t="shared" si="1"/>
        <v>ADM2483BRWZ</v>
      </c>
      <c r="D9" s="2" t="str">
        <f t="shared" si="2"/>
        <v>Schematic\ADM2483BRWZ.SchLib</v>
      </c>
      <c r="E9" s="2" t="str">
        <f t="shared" si="0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1"/>
        <v>LD1117S50CTR</v>
      </c>
      <c r="D10" s="2" t="str">
        <f t="shared" si="2"/>
        <v>Schematic\LD1117S50CTR.SchLib</v>
      </c>
      <c r="E10" s="2" t="str">
        <f t="shared" si="0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167</v>
      </c>
      <c r="B11" t="s">
        <v>168</v>
      </c>
      <c r="C11" s="2" t="str">
        <f t="shared" si="1"/>
        <v>ICM42688P</v>
      </c>
      <c r="D11" s="2" t="str">
        <f t="shared" si="2"/>
        <v>Schematic\ICM42688P.SchLib</v>
      </c>
      <c r="E11" s="2" t="str">
        <f t="shared" si="0"/>
        <v>ICM42688P</v>
      </c>
      <c r="F11" t="str">
        <f t="shared" si="3"/>
        <v>Footprints\LGA-14.PcbLib</v>
      </c>
      <c r="G11" t="s">
        <v>169</v>
      </c>
    </row>
    <row r="12" spans="1:20" x14ac:dyDescent="0.35">
      <c r="A12" t="s">
        <v>180</v>
      </c>
      <c r="B12" t="s">
        <v>181</v>
      </c>
      <c r="C12" s="2" t="str">
        <f t="shared" si="1"/>
        <v>LIS3MDL</v>
      </c>
      <c r="D12" s="2" t="str">
        <f t="shared" si="2"/>
        <v>Schematic\LIS3MDL.SchLib</v>
      </c>
      <c r="E12" s="2" t="str">
        <f t="shared" si="0"/>
        <v>LIS3MDL</v>
      </c>
      <c r="F12" t="str">
        <f t="shared" si="3"/>
        <v>Footprints\LGA-12.PcbLib</v>
      </c>
      <c r="G12" t="s">
        <v>179</v>
      </c>
    </row>
    <row r="13" spans="1:20" x14ac:dyDescent="0.35">
      <c r="A13" t="s">
        <v>182</v>
      </c>
      <c r="B13" t="s">
        <v>183</v>
      </c>
      <c r="C13" s="2" t="str">
        <f>A13</f>
        <v>MCP2551</v>
      </c>
      <c r="D13" t="str">
        <f>CONCATENATE("Schematic\",A13,".SchLib")</f>
        <v>Schematic\MCP2551.SchLib</v>
      </c>
      <c r="E13" t="str">
        <f>A13</f>
        <v>MCP2551</v>
      </c>
      <c r="F13" t="str">
        <f>CONCATENATE("Footprints\",G13,".PcbLib")</f>
        <v>Footprints\SOIC-8.PcbLib</v>
      </c>
      <c r="G13" t="s">
        <v>79</v>
      </c>
    </row>
    <row r="14" spans="1:20" x14ac:dyDescent="0.35">
      <c r="A14" t="s">
        <v>193</v>
      </c>
      <c r="B14" t="s">
        <v>183</v>
      </c>
      <c r="C14" s="2" t="str">
        <f>A14</f>
        <v>MC74AC125DR2</v>
      </c>
      <c r="D14" t="str">
        <f>CONCATENATE("Schematic\",A14,".SchLib")</f>
        <v>Schematic\MC74AC125DR2.SchLib</v>
      </c>
      <c r="E14" t="str">
        <f>A14</f>
        <v>MC74AC125DR2</v>
      </c>
      <c r="F14" t="str">
        <f>CONCATENATE("Footprints\",G14,".PcbLib")</f>
        <v>Footprints\SOIC-14.PcbLib</v>
      </c>
      <c r="G14" t="s">
        <v>194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sheetPr codeName="Лист9"/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0,3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workbookViewId="0">
      <selection activeCell="B6" sqref="B6"/>
    </sheetView>
  </sheetViews>
  <sheetFormatPr defaultRowHeight="14.5" x14ac:dyDescent="0.35"/>
  <cols>
    <col min="1" max="1" width="20.36328125" customWidth="1"/>
    <col min="2" max="2" width="30.5429687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187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127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128</v>
      </c>
      <c r="H4">
        <v>12</v>
      </c>
      <c r="I4">
        <v>400</v>
      </c>
      <c r="J4" t="str">
        <f t="shared" si="0"/>
        <v>12 В</v>
      </c>
    </row>
    <row r="5" spans="1:11" x14ac:dyDescent="0.35">
      <c r="A5" t="s">
        <v>185</v>
      </c>
      <c r="B5" t="s">
        <v>188</v>
      </c>
      <c r="C5" t="str">
        <f>A5</f>
        <v>PESD2CAN</v>
      </c>
      <c r="D5" t="str">
        <f>CONCATENATE("Schematic\TVS\",E5,".SchLib")</f>
        <v>Schematic\TVS\TVS_2_1dir.SchLib</v>
      </c>
      <c r="E5" t="s">
        <v>186</v>
      </c>
      <c r="F5" t="str">
        <f>CONCATENATE("Footprints\",G5,".PcbLib")</f>
        <v>Footprints\SOT23-3.PcbLib</v>
      </c>
      <c r="G5" t="s">
        <v>18</v>
      </c>
      <c r="K5" t="s">
        <v>184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1"/>
  <sheetViews>
    <sheetView topLeftCell="A160" workbookViewId="0">
      <selection activeCell="H171" sqref="H171"/>
    </sheetView>
  </sheetViews>
  <sheetFormatPr defaultRowHeight="14.5" x14ac:dyDescent="0.35"/>
  <cols>
    <col min="1" max="1" width="25.1796875" customWidth="1"/>
    <col min="2" max="2" width="44.089843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148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Resistor_1.0_1_0603</v>
      </c>
      <c r="B2" s="8" t="str">
        <f>CONCATENATE("Резистор номиналом ",Таблица6[[#This Row],[Value]],"Ом и точностью ",Таблица6[[#This Row],[Tolerance]]*100," %")</f>
        <v>Резистор номиналом 1,0Ом и точностью 1 %</v>
      </c>
      <c r="C2" s="3" t="s">
        <v>26</v>
      </c>
      <c r="D2" s="3" t="s">
        <v>29</v>
      </c>
      <c r="E2" s="3" t="s">
        <v>26</v>
      </c>
      <c r="F2" s="5" t="s">
        <v>131</v>
      </c>
      <c r="G2" s="4">
        <v>0.01</v>
      </c>
      <c r="H2" s="3" t="s">
        <v>132</v>
      </c>
      <c r="I2" s="3" t="s">
        <v>32</v>
      </c>
      <c r="K2" s="2"/>
    </row>
    <row r="3" spans="1:14" ht="15.5" x14ac:dyDescent="0.35">
      <c r="A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Resistor_1.1_1_0603</v>
      </c>
      <c r="B3" s="8" t="str">
        <f>CONCATENATE("Резистор номиналом ",Таблица6[[#This Row],[Value]],"Ом и точностью ",Таблица6[[#This Row],[Tolerance]]*100," %")</f>
        <v>Резистор номиналом 1,1Ом и точностью 1 %</v>
      </c>
      <c r="C3" s="3" t="s">
        <v>26</v>
      </c>
      <c r="D3" s="3" t="s">
        <v>29</v>
      </c>
      <c r="E3" s="3" t="s">
        <v>26</v>
      </c>
      <c r="F3" s="6" t="s">
        <v>133</v>
      </c>
      <c r="G3" s="4">
        <v>0.01</v>
      </c>
      <c r="H3" s="3" t="s">
        <v>132</v>
      </c>
      <c r="I3" s="3" t="s">
        <v>32</v>
      </c>
      <c r="K3" s="2"/>
    </row>
    <row r="4" spans="1:14" ht="15.5" x14ac:dyDescent="0.35">
      <c r="A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Resistor_1.2_1_0603</v>
      </c>
      <c r="B4" s="8" t="str">
        <f>CONCATENATE("Резистор номиналом ",Таблица6[[#This Row],[Value]],"Ом и точностью ",Таблица6[[#This Row],[Tolerance]]*100," %")</f>
        <v>Резистор номиналом 1,2Ом и точностью 1 %</v>
      </c>
      <c r="C4" s="3" t="s">
        <v>26</v>
      </c>
      <c r="D4" s="3" t="s">
        <v>29</v>
      </c>
      <c r="E4" s="3" t="s">
        <v>26</v>
      </c>
      <c r="F4" s="5" t="s">
        <v>134</v>
      </c>
      <c r="G4" s="4">
        <v>0.01</v>
      </c>
      <c r="H4" s="3" t="s">
        <v>132</v>
      </c>
      <c r="I4" s="3" t="s">
        <v>32</v>
      </c>
      <c r="K4" s="2"/>
    </row>
    <row r="5" spans="1:14" ht="15.5" x14ac:dyDescent="0.35">
      <c r="A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Resistor_1.3_1_0603</v>
      </c>
      <c r="B5" s="8" t="str">
        <f>CONCATENATE("Резистор номиналом ",Таблица6[[#This Row],[Value]],"Ом и точностью ",Таблица6[[#This Row],[Tolerance]]*100," %")</f>
        <v>Резистор номиналом 1,3Ом и точностью 1 %</v>
      </c>
      <c r="C5" s="3" t="s">
        <v>26</v>
      </c>
      <c r="D5" s="3" t="s">
        <v>29</v>
      </c>
      <c r="E5" s="3" t="s">
        <v>26</v>
      </c>
      <c r="F5" s="6" t="s">
        <v>135</v>
      </c>
      <c r="G5" s="4">
        <v>0.01</v>
      </c>
      <c r="H5" s="3" t="s">
        <v>132</v>
      </c>
      <c r="I5" s="3" t="s">
        <v>32</v>
      </c>
      <c r="K5" s="2"/>
    </row>
    <row r="6" spans="1:14" ht="15.5" x14ac:dyDescent="0.35">
      <c r="A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Resistor_1.5_1_0603</v>
      </c>
      <c r="B6" s="8" t="str">
        <f>CONCATENATE("Резистор номиналом ",Таблица6[[#This Row],[Value]],"Ом и точностью ",Таблица6[[#This Row],[Tolerance]]*100," %")</f>
        <v>Резистор номиналом 1,5Ом и точностью 1 %</v>
      </c>
      <c r="C6" s="3" t="s">
        <v>26</v>
      </c>
      <c r="D6" s="3" t="s">
        <v>29</v>
      </c>
      <c r="E6" s="3" t="s">
        <v>26</v>
      </c>
      <c r="F6" s="5" t="s">
        <v>136</v>
      </c>
      <c r="G6" s="4">
        <v>0.01</v>
      </c>
      <c r="H6" s="3" t="s">
        <v>132</v>
      </c>
      <c r="I6" s="3" t="s">
        <v>32</v>
      </c>
      <c r="K6" s="2"/>
    </row>
    <row r="7" spans="1:14" ht="15.5" x14ac:dyDescent="0.35">
      <c r="A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Resistor_1.6_1_0603</v>
      </c>
      <c r="B7" s="8" t="str">
        <f>CONCATENATE("Резистор номиналом ",Таблица6[[#This Row],[Value]],"Ом и точностью ",Таблица6[[#This Row],[Tolerance]]*100," %")</f>
        <v>Резистор номиналом 1,6Ом и точностью 1 %</v>
      </c>
      <c r="C7" s="3" t="s">
        <v>26</v>
      </c>
      <c r="D7" s="3" t="s">
        <v>29</v>
      </c>
      <c r="E7" s="3" t="s">
        <v>26</v>
      </c>
      <c r="F7" s="6" t="s">
        <v>137</v>
      </c>
      <c r="G7" s="4">
        <v>0.01</v>
      </c>
      <c r="H7" s="3" t="s">
        <v>132</v>
      </c>
      <c r="I7" s="3" t="s">
        <v>32</v>
      </c>
      <c r="K7" s="2"/>
    </row>
    <row r="8" spans="1:14" ht="15.5" x14ac:dyDescent="0.35">
      <c r="A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Resistor_1.8_1_0603</v>
      </c>
      <c r="B8" s="8" t="str">
        <f>CONCATENATE("Резистор номиналом ",Таблица6[[#This Row],[Value]],"Ом и точностью ",Таблица6[[#This Row],[Tolerance]]*100," %")</f>
        <v>Резистор номиналом 1,8Ом и точностью 1 %</v>
      </c>
      <c r="C8" s="3" t="s">
        <v>26</v>
      </c>
      <c r="D8" s="3" t="s">
        <v>29</v>
      </c>
      <c r="E8" s="3" t="s">
        <v>26</v>
      </c>
      <c r="F8" s="5" t="s">
        <v>138</v>
      </c>
      <c r="G8" s="4">
        <v>0.01</v>
      </c>
      <c r="H8" s="3" t="s">
        <v>132</v>
      </c>
      <c r="I8" s="3" t="s">
        <v>32</v>
      </c>
      <c r="K8" s="2"/>
    </row>
    <row r="9" spans="1:14" ht="15.5" x14ac:dyDescent="0.35">
      <c r="A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Resistor_2.0_1_0603</v>
      </c>
      <c r="B9" s="8" t="str">
        <f>CONCATENATE("Резистор номиналом ",Таблица6[[#This Row],[Value]],"Ом и точностью ",Таблица6[[#This Row],[Tolerance]]*100," %")</f>
        <v>Резистор номиналом 2,0Ом и точностью 1 %</v>
      </c>
      <c r="C9" s="3" t="s">
        <v>26</v>
      </c>
      <c r="D9" s="3" t="s">
        <v>29</v>
      </c>
      <c r="E9" s="3" t="s">
        <v>26</v>
      </c>
      <c r="F9" s="6" t="s">
        <v>139</v>
      </c>
      <c r="G9" s="4">
        <v>0.01</v>
      </c>
      <c r="H9" s="3" t="s">
        <v>132</v>
      </c>
      <c r="I9" s="3" t="s">
        <v>32</v>
      </c>
      <c r="K9" s="2"/>
    </row>
    <row r="10" spans="1:14" ht="15.5" x14ac:dyDescent="0.35">
      <c r="A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Resistor_2.2_1_0603</v>
      </c>
      <c r="B10" s="8" t="str">
        <f>CONCATENATE("Резистор номиналом ",Таблица6[[#This Row],[Value]],"Ом и точностью ",Таблица6[[#This Row],[Tolerance]]*100," %")</f>
        <v>Резистор номиналом 2,2Ом и точностью 1 %</v>
      </c>
      <c r="C10" s="3" t="s">
        <v>26</v>
      </c>
      <c r="D10" s="3" t="s">
        <v>29</v>
      </c>
      <c r="E10" s="3" t="s">
        <v>26</v>
      </c>
      <c r="F10" s="5" t="s">
        <v>140</v>
      </c>
      <c r="G10" s="4">
        <v>0.01</v>
      </c>
      <c r="H10" s="3" t="s">
        <v>132</v>
      </c>
      <c r="I10" s="3" t="s">
        <v>32</v>
      </c>
      <c r="K10" s="2"/>
    </row>
    <row r="11" spans="1:14" ht="15.5" x14ac:dyDescent="0.35">
      <c r="A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Resistor_2.4_1_0603</v>
      </c>
      <c r="B11" s="8" t="str">
        <f>CONCATENATE("Резистор номиналом ",Таблица6[[#This Row],[Value]],"Ом и точностью ",Таблица6[[#This Row],[Tolerance]]*100," %")</f>
        <v>Резистор номиналом 2,4Ом и точностью 1 %</v>
      </c>
      <c r="C11" s="3" t="s">
        <v>26</v>
      </c>
      <c r="D11" s="3" t="s">
        <v>29</v>
      </c>
      <c r="E11" s="3" t="s">
        <v>26</v>
      </c>
      <c r="F11" s="6" t="s">
        <v>141</v>
      </c>
      <c r="G11" s="4">
        <v>0.01</v>
      </c>
      <c r="H11" s="3" t="s">
        <v>132</v>
      </c>
      <c r="I11" s="3" t="s">
        <v>32</v>
      </c>
      <c r="K11" s="2"/>
    </row>
    <row r="12" spans="1:14" ht="15.5" x14ac:dyDescent="0.35">
      <c r="A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Resistor_2.7_1_0603</v>
      </c>
      <c r="B12" s="8" t="str">
        <f>CONCATENATE("Резистор номиналом ",Таблица6[[#This Row],[Value]],"Ом и точностью ",Таблица6[[#This Row],[Tolerance]]*100," %")</f>
        <v>Резистор номиналом 2,7Ом и точностью 1 %</v>
      </c>
      <c r="C12" s="3" t="s">
        <v>26</v>
      </c>
      <c r="D12" s="3" t="s">
        <v>29</v>
      </c>
      <c r="E12" s="3" t="s">
        <v>26</v>
      </c>
      <c r="F12" s="5" t="s">
        <v>150</v>
      </c>
      <c r="G12" s="4">
        <v>0.01</v>
      </c>
      <c r="H12" s="3" t="s">
        <v>132</v>
      </c>
      <c r="I12" s="3" t="s">
        <v>32</v>
      </c>
      <c r="K12" s="2"/>
    </row>
    <row r="13" spans="1:14" ht="15.5" x14ac:dyDescent="0.35">
      <c r="A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Resistor_3.0_1_0603</v>
      </c>
      <c r="B13" s="8" t="str">
        <f>CONCATENATE("Резистор номиналом ",Таблица6[[#This Row],[Value]],"Ом и точностью ",Таблица6[[#This Row],[Tolerance]]*100," %")</f>
        <v>Резистор номиналом 3,0Ом и точностью 1 %</v>
      </c>
      <c r="C13" s="3" t="s">
        <v>26</v>
      </c>
      <c r="D13" s="3" t="s">
        <v>29</v>
      </c>
      <c r="E13" s="3" t="s">
        <v>26</v>
      </c>
      <c r="F13" s="6" t="s">
        <v>151</v>
      </c>
      <c r="G13" s="4">
        <v>0.01</v>
      </c>
      <c r="H13" s="3" t="s">
        <v>132</v>
      </c>
      <c r="I13" s="3" t="s">
        <v>32</v>
      </c>
      <c r="K13" s="2"/>
    </row>
    <row r="14" spans="1:14" ht="15.5" x14ac:dyDescent="0.35">
      <c r="A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Resistor_3.3_1_0603</v>
      </c>
      <c r="B14" s="8" t="str">
        <f>CONCATENATE("Резистор номиналом ",Таблица6[[#This Row],[Value]],"Ом и точностью ",Таблица6[[#This Row],[Tolerance]]*100," %")</f>
        <v>Резистор номиналом 3,3Ом и точностью 1 %</v>
      </c>
      <c r="C14" s="3" t="s">
        <v>26</v>
      </c>
      <c r="D14" s="3" t="s">
        <v>29</v>
      </c>
      <c r="E14" s="3" t="s">
        <v>26</v>
      </c>
      <c r="F14" s="5" t="s">
        <v>152</v>
      </c>
      <c r="G14" s="4">
        <v>0.01</v>
      </c>
      <c r="H14" s="3" t="s">
        <v>132</v>
      </c>
      <c r="I14" s="3" t="s">
        <v>32</v>
      </c>
      <c r="K14" s="2"/>
    </row>
    <row r="15" spans="1:14" ht="15.5" x14ac:dyDescent="0.35">
      <c r="A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Resistor_3.6_1_0603</v>
      </c>
      <c r="B15" s="8" t="str">
        <f>CONCATENATE("Резистор номиналом ",Таблица6[[#This Row],[Value]],"Ом и точностью ",Таблица6[[#This Row],[Tolerance]]*100," %")</f>
        <v>Резистор номиналом 3,6Ом и точностью 1 %</v>
      </c>
      <c r="C15" s="3" t="s">
        <v>26</v>
      </c>
      <c r="D15" s="3" t="s">
        <v>29</v>
      </c>
      <c r="E15" s="3" t="s">
        <v>26</v>
      </c>
      <c r="F15" s="6" t="s">
        <v>153</v>
      </c>
      <c r="G15" s="4">
        <v>0.01</v>
      </c>
      <c r="H15" s="3" t="s">
        <v>132</v>
      </c>
      <c r="I15" s="3" t="s">
        <v>32</v>
      </c>
      <c r="K15" s="2"/>
    </row>
    <row r="16" spans="1:14" ht="15.5" x14ac:dyDescent="0.35">
      <c r="A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Resistor_3.9_1_0603</v>
      </c>
      <c r="B16" s="8" t="str">
        <f>CONCATENATE("Резистор номиналом ",Таблица6[[#This Row],[Value]],"Ом и точностью ",Таблица6[[#This Row],[Tolerance]]*100," %")</f>
        <v>Резистор номиналом 3,9Ом и точностью 1 %</v>
      </c>
      <c r="C16" s="3" t="s">
        <v>26</v>
      </c>
      <c r="D16" s="3" t="s">
        <v>29</v>
      </c>
      <c r="E16" s="3" t="s">
        <v>26</v>
      </c>
      <c r="F16" s="5" t="s">
        <v>154</v>
      </c>
      <c r="G16" s="4">
        <v>0.01</v>
      </c>
      <c r="H16" s="3" t="s">
        <v>132</v>
      </c>
      <c r="I16" s="3" t="s">
        <v>32</v>
      </c>
      <c r="K16" s="2"/>
    </row>
    <row r="17" spans="1:11" ht="15.5" x14ac:dyDescent="0.35">
      <c r="A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Resistor_4.3_1_0603</v>
      </c>
      <c r="B17" s="8" t="str">
        <f>CONCATENATE("Резистор номиналом ",Таблица6[[#This Row],[Value]],"Ом и точностью ",Таблица6[[#This Row],[Tolerance]]*100," %")</f>
        <v>Резистор номиналом 4,3Ом и точностью 1 %</v>
      </c>
      <c r="C17" s="3" t="s">
        <v>26</v>
      </c>
      <c r="D17" s="3" t="s">
        <v>29</v>
      </c>
      <c r="E17" s="3" t="s">
        <v>26</v>
      </c>
      <c r="F17" s="6" t="s">
        <v>155</v>
      </c>
      <c r="G17" s="4">
        <v>0.01</v>
      </c>
      <c r="H17" s="3" t="s">
        <v>132</v>
      </c>
      <c r="I17" s="3" t="s">
        <v>32</v>
      </c>
      <c r="K17" s="2"/>
    </row>
    <row r="18" spans="1:11" ht="15.5" x14ac:dyDescent="0.35">
      <c r="A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Resistor_4.7_1_0603</v>
      </c>
      <c r="B18" s="8" t="str">
        <f>CONCATENATE("Резистор номиналом ",Таблица6[[#This Row],[Value]],"Ом и точностью ",Таблица6[[#This Row],[Tolerance]]*100," %")</f>
        <v>Резистор номиналом 4,7Ом и точностью 1 %</v>
      </c>
      <c r="C18" s="3" t="s">
        <v>26</v>
      </c>
      <c r="D18" s="3" t="s">
        <v>29</v>
      </c>
      <c r="E18" s="3" t="s">
        <v>26</v>
      </c>
      <c r="F18" s="5" t="s">
        <v>156</v>
      </c>
      <c r="G18" s="4">
        <v>0.01</v>
      </c>
      <c r="H18" s="3" t="s">
        <v>132</v>
      </c>
      <c r="I18" s="3" t="s">
        <v>32</v>
      </c>
      <c r="K18" s="2"/>
    </row>
    <row r="19" spans="1:11" ht="15.5" x14ac:dyDescent="0.35">
      <c r="A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Resistor_5.1_1_0603</v>
      </c>
      <c r="B19" s="8" t="str">
        <f>CONCATENATE("Резистор номиналом ",Таблица6[[#This Row],[Value]],"Ом и точностью ",Таблица6[[#This Row],[Tolerance]]*100," %")</f>
        <v>Резистор номиналом 5,1Ом и точностью 1 %</v>
      </c>
      <c r="C19" s="3" t="s">
        <v>26</v>
      </c>
      <c r="D19" s="3" t="s">
        <v>29</v>
      </c>
      <c r="E19" s="3" t="s">
        <v>26</v>
      </c>
      <c r="F19" s="6" t="s">
        <v>142</v>
      </c>
      <c r="G19" s="4">
        <v>0.01</v>
      </c>
      <c r="H19" s="3" t="s">
        <v>132</v>
      </c>
      <c r="I19" s="3" t="s">
        <v>32</v>
      </c>
      <c r="K19" s="2"/>
    </row>
    <row r="20" spans="1:11" ht="15.5" x14ac:dyDescent="0.35">
      <c r="A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Resistor_5.6_1_0603</v>
      </c>
      <c r="B20" s="8" t="str">
        <f>CONCATENATE("Резистор номиналом ",Таблица6[[#This Row],[Value]],"Ом и точностью ",Таблица6[[#This Row],[Tolerance]]*100," %")</f>
        <v>Резистор номиналом 5,6Ом и точностью 1 %</v>
      </c>
      <c r="C20" s="3" t="s">
        <v>26</v>
      </c>
      <c r="D20" s="3" t="s">
        <v>29</v>
      </c>
      <c r="E20" s="3" t="s">
        <v>26</v>
      </c>
      <c r="F20" s="5" t="s">
        <v>143</v>
      </c>
      <c r="G20" s="4">
        <v>0.01</v>
      </c>
      <c r="H20" s="3" t="s">
        <v>132</v>
      </c>
      <c r="I20" s="3" t="s">
        <v>32</v>
      </c>
      <c r="K20" s="2"/>
    </row>
    <row r="21" spans="1:11" ht="15.5" x14ac:dyDescent="0.35">
      <c r="A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Resistor_6.2_1_0603</v>
      </c>
      <c r="B21" s="8" t="str">
        <f>CONCATENATE("Резистор номиналом ",Таблица6[[#This Row],[Value]],"Ом и точностью ",Таблица6[[#This Row],[Tolerance]]*100," %")</f>
        <v>Резистор номиналом 6,2Ом и точностью 1 %</v>
      </c>
      <c r="C21" s="3" t="s">
        <v>26</v>
      </c>
      <c r="D21" s="3" t="s">
        <v>29</v>
      </c>
      <c r="E21" s="3" t="s">
        <v>26</v>
      </c>
      <c r="F21" s="6" t="s">
        <v>144</v>
      </c>
      <c r="G21" s="4">
        <v>0.01</v>
      </c>
      <c r="H21" s="3" t="s">
        <v>132</v>
      </c>
      <c r="I21" s="3" t="s">
        <v>32</v>
      </c>
      <c r="K21" s="2"/>
    </row>
    <row r="22" spans="1:11" ht="15.5" x14ac:dyDescent="0.35">
      <c r="A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Resistor_6.8_1_0603</v>
      </c>
      <c r="B22" s="8" t="str">
        <f>CONCATENATE("Резистор номиналом ",Таблица6[[#This Row],[Value]],"Ом и точностью ",Таблица6[[#This Row],[Tolerance]]*100," %")</f>
        <v>Резистор номиналом 6,8Ом и точностью 1 %</v>
      </c>
      <c r="C22" s="3" t="s">
        <v>26</v>
      </c>
      <c r="D22" s="3" t="s">
        <v>29</v>
      </c>
      <c r="E22" s="3" t="s">
        <v>26</v>
      </c>
      <c r="F22" s="5" t="s">
        <v>145</v>
      </c>
      <c r="G22" s="4">
        <v>0.01</v>
      </c>
      <c r="H22" s="3" t="s">
        <v>132</v>
      </c>
      <c r="I22" s="3" t="s">
        <v>32</v>
      </c>
      <c r="K22" s="2"/>
    </row>
    <row r="23" spans="1:11" ht="15.5" x14ac:dyDescent="0.35">
      <c r="A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Resistor_7.5_1_0603</v>
      </c>
      <c r="B23" s="8" t="str">
        <f>CONCATENATE("Резистор номиналом ",Таблица6[[#This Row],[Value]],"Ом и точностью ",Таблица6[[#This Row],[Tolerance]]*100," %")</f>
        <v>Резистор номиналом 7,5Ом и точностью 1 %</v>
      </c>
      <c r="C23" s="3" t="s">
        <v>26</v>
      </c>
      <c r="D23" s="3" t="s">
        <v>29</v>
      </c>
      <c r="E23" s="3" t="s">
        <v>26</v>
      </c>
      <c r="F23" s="6" t="s">
        <v>146</v>
      </c>
      <c r="G23" s="4">
        <v>0.01</v>
      </c>
      <c r="H23" s="3" t="s">
        <v>132</v>
      </c>
      <c r="I23" s="3" t="s">
        <v>32</v>
      </c>
      <c r="K23" s="2"/>
    </row>
    <row r="24" spans="1:11" ht="15.5" x14ac:dyDescent="0.35">
      <c r="A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Resistor_8.2_1_0603</v>
      </c>
      <c r="B24" s="8" t="str">
        <f>CONCATENATE("Резистор номиналом ",Таблица6[[#This Row],[Value]],"Ом и точностью ",Таблица6[[#This Row],[Tolerance]]*100," %")</f>
        <v>Резистор номиналом 8,2Ом и точностью 1 %</v>
      </c>
      <c r="C24" s="3" t="s">
        <v>26</v>
      </c>
      <c r="D24" s="3" t="s">
        <v>29</v>
      </c>
      <c r="E24" s="3" t="s">
        <v>26</v>
      </c>
      <c r="F24" s="5" t="s">
        <v>166</v>
      </c>
      <c r="G24" s="4">
        <v>0.01</v>
      </c>
      <c r="H24" s="3" t="s">
        <v>132</v>
      </c>
      <c r="I24" s="3" t="s">
        <v>32</v>
      </c>
      <c r="K24" s="2"/>
    </row>
    <row r="25" spans="1:11" ht="15.5" x14ac:dyDescent="0.35">
      <c r="A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Resistor_9.1_1_0603</v>
      </c>
      <c r="B25" s="8" t="str">
        <f>CONCATENATE("Резистор номиналом ",Таблица6[[#This Row],[Value]],"Ом и точностью ",Таблица6[[#This Row],[Tolerance]]*100," %")</f>
        <v>Резистор номиналом 9,1Ом и точностью 1 %</v>
      </c>
      <c r="C25" s="3" t="s">
        <v>26</v>
      </c>
      <c r="D25" s="3" t="s">
        <v>29</v>
      </c>
      <c r="E25" s="3" t="s">
        <v>26</v>
      </c>
      <c r="F25" s="6" t="s">
        <v>147</v>
      </c>
      <c r="G25" s="4">
        <v>0.01</v>
      </c>
      <c r="H25" s="3" t="s">
        <v>132</v>
      </c>
      <c r="I25" s="3" t="s">
        <v>32</v>
      </c>
      <c r="K25" s="2"/>
    </row>
    <row r="26" spans="1:11" ht="15.5" x14ac:dyDescent="0.35">
      <c r="A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Resistor_10_1_0603</v>
      </c>
      <c r="B26" s="8" t="str">
        <f>CONCATENATE("Резистор номиналом ",Таблица6[[#This Row],[Value]],"Ом и точностью ",Таблица6[[#This Row],[Tolerance]]*100," %")</f>
        <v>Резистор номиналом 10Ом и точностью 1 %</v>
      </c>
      <c r="C26" s="3" t="s">
        <v>26</v>
      </c>
      <c r="D26" s="3" t="s">
        <v>29</v>
      </c>
      <c r="E26" s="3" t="s">
        <v>26</v>
      </c>
      <c r="F26" s="5">
        <f>F2*10</f>
        <v>10</v>
      </c>
      <c r="G26" s="4">
        <v>0.01</v>
      </c>
      <c r="H26" s="3" t="s">
        <v>132</v>
      </c>
      <c r="I26" s="3" t="s">
        <v>32</v>
      </c>
      <c r="K26" s="2"/>
    </row>
    <row r="27" spans="1:11" ht="15.5" x14ac:dyDescent="0.35">
      <c r="A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Resistor_11_1_0603</v>
      </c>
      <c r="B27" s="8" t="str">
        <f>CONCATENATE("Резистор номиналом ",Таблица6[[#This Row],[Value]],"Ом и точностью ",Таблица6[[#This Row],[Tolerance]]*100," %")</f>
        <v>Резистор номиналом 11Ом и точностью 1 %</v>
      </c>
      <c r="C27" s="3" t="s">
        <v>26</v>
      </c>
      <c r="D27" s="3" t="s">
        <v>29</v>
      </c>
      <c r="E27" s="3" t="s">
        <v>26</v>
      </c>
      <c r="F27" s="5">
        <f t="shared" ref="F27:F73" si="0">F3*10</f>
        <v>11</v>
      </c>
      <c r="G27" s="4">
        <v>0.01</v>
      </c>
      <c r="H27" s="3" t="s">
        <v>132</v>
      </c>
      <c r="I27" s="3" t="s">
        <v>32</v>
      </c>
      <c r="K27" s="2"/>
    </row>
    <row r="28" spans="1:11" ht="15.5" x14ac:dyDescent="0.35">
      <c r="A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Resistor_12_1_0603</v>
      </c>
      <c r="B28" s="8" t="str">
        <f>CONCATENATE("Резистор номиналом ",Таблица6[[#This Row],[Value]],"Ом и точностью ",Таблица6[[#This Row],[Tolerance]]*100," %")</f>
        <v>Резистор номиналом 12Ом и точностью 1 %</v>
      </c>
      <c r="C28" s="3" t="s">
        <v>26</v>
      </c>
      <c r="D28" s="3" t="s">
        <v>29</v>
      </c>
      <c r="E28" s="3" t="s">
        <v>26</v>
      </c>
      <c r="F28" s="5">
        <f t="shared" si="0"/>
        <v>12</v>
      </c>
      <c r="G28" s="4">
        <v>0.01</v>
      </c>
      <c r="H28" s="3" t="s">
        <v>132</v>
      </c>
      <c r="I28" s="3" t="s">
        <v>32</v>
      </c>
      <c r="K28" s="2"/>
    </row>
    <row r="29" spans="1:11" ht="15.5" x14ac:dyDescent="0.35">
      <c r="A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Resistor_13_1_0603</v>
      </c>
      <c r="B29" s="8" t="str">
        <f>CONCATENATE("Резистор номиналом ",Таблица6[[#This Row],[Value]],"Ом и точностью ",Таблица6[[#This Row],[Tolerance]]*100," %")</f>
        <v>Резистор номиналом 13Ом и точностью 1 %</v>
      </c>
      <c r="C29" s="3" t="s">
        <v>26</v>
      </c>
      <c r="D29" s="3" t="s">
        <v>29</v>
      </c>
      <c r="E29" s="3" t="s">
        <v>26</v>
      </c>
      <c r="F29" s="5">
        <f t="shared" si="0"/>
        <v>13</v>
      </c>
      <c r="G29" s="4">
        <v>0.01</v>
      </c>
      <c r="H29" s="3" t="s">
        <v>132</v>
      </c>
      <c r="I29" s="3" t="s">
        <v>32</v>
      </c>
      <c r="K29" s="2"/>
    </row>
    <row r="30" spans="1:11" ht="15.5" x14ac:dyDescent="0.35">
      <c r="A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Resistor_15_1_0603</v>
      </c>
      <c r="B30" s="8" t="str">
        <f>CONCATENATE("Резистор номиналом ",Таблица6[[#This Row],[Value]],"Ом и точностью ",Таблица6[[#This Row],[Tolerance]]*100," %")</f>
        <v>Резистор номиналом 15Ом и точностью 1 %</v>
      </c>
      <c r="C30" s="3" t="s">
        <v>26</v>
      </c>
      <c r="D30" s="3" t="s">
        <v>29</v>
      </c>
      <c r="E30" s="3" t="s">
        <v>26</v>
      </c>
      <c r="F30" s="5">
        <f t="shared" si="0"/>
        <v>15</v>
      </c>
      <c r="G30" s="4">
        <v>0.01</v>
      </c>
      <c r="H30" s="3" t="s">
        <v>132</v>
      </c>
      <c r="I30" s="3" t="s">
        <v>32</v>
      </c>
      <c r="K30" s="2"/>
    </row>
    <row r="31" spans="1:11" ht="15.5" x14ac:dyDescent="0.35">
      <c r="A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Resistor_16_1_0603</v>
      </c>
      <c r="B31" s="8" t="str">
        <f>CONCATENATE("Резистор номиналом ",Таблица6[[#This Row],[Value]],"Ом и точностью ",Таблица6[[#This Row],[Tolerance]]*100," %")</f>
        <v>Резистор номиналом 16Ом и точностью 1 %</v>
      </c>
      <c r="C31" s="3" t="s">
        <v>26</v>
      </c>
      <c r="D31" s="3" t="s">
        <v>29</v>
      </c>
      <c r="E31" s="3" t="s">
        <v>26</v>
      </c>
      <c r="F31" s="5">
        <f t="shared" si="0"/>
        <v>16</v>
      </c>
      <c r="G31" s="4">
        <v>0.01</v>
      </c>
      <c r="H31" s="3" t="s">
        <v>132</v>
      </c>
      <c r="I31" s="3" t="s">
        <v>32</v>
      </c>
      <c r="K31" s="2"/>
    </row>
    <row r="32" spans="1:11" ht="15.5" x14ac:dyDescent="0.35">
      <c r="A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Resistor_18_1_0603</v>
      </c>
      <c r="B32" s="8" t="str">
        <f>CONCATENATE("Резистор номиналом ",Таблица6[[#This Row],[Value]],"Ом и точностью ",Таблица6[[#This Row],[Tolerance]]*100," %")</f>
        <v>Резистор номиналом 18Ом и точностью 1 %</v>
      </c>
      <c r="C32" s="3" t="s">
        <v>26</v>
      </c>
      <c r="D32" s="3" t="s">
        <v>29</v>
      </c>
      <c r="E32" s="3" t="s">
        <v>26</v>
      </c>
      <c r="F32" s="5">
        <f t="shared" si="0"/>
        <v>18</v>
      </c>
      <c r="G32" s="4">
        <v>0.01</v>
      </c>
      <c r="H32" s="3" t="s">
        <v>132</v>
      </c>
      <c r="I32" s="3" t="s">
        <v>32</v>
      </c>
      <c r="K32" s="2"/>
    </row>
    <row r="33" spans="1:11" ht="15.5" x14ac:dyDescent="0.35">
      <c r="A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Resistor_20_1_0603</v>
      </c>
      <c r="B33" s="8" t="str">
        <f>CONCATENATE("Резистор номиналом ",Таблица6[[#This Row],[Value]],"Ом и точностью ",Таблица6[[#This Row],[Tolerance]]*100," %")</f>
        <v>Резистор номиналом 20Ом и точностью 1 %</v>
      </c>
      <c r="C33" s="3" t="s">
        <v>26</v>
      </c>
      <c r="D33" s="3" t="s">
        <v>29</v>
      </c>
      <c r="E33" s="3" t="s">
        <v>26</v>
      </c>
      <c r="F33" s="5">
        <f t="shared" si="0"/>
        <v>20</v>
      </c>
      <c r="G33" s="4">
        <v>0.01</v>
      </c>
      <c r="H33" s="3" t="s">
        <v>132</v>
      </c>
      <c r="I33" s="3" t="s">
        <v>32</v>
      </c>
      <c r="K33" s="2"/>
    </row>
    <row r="34" spans="1:11" ht="15.5" x14ac:dyDescent="0.35">
      <c r="A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Resistor_22_1_0603</v>
      </c>
      <c r="B34" s="8" t="str">
        <f>CONCATENATE("Резистор номиналом ",Таблица6[[#This Row],[Value]],"Ом и точностью ",Таблица6[[#This Row],[Tolerance]]*100," %")</f>
        <v>Резистор номиналом 22Ом и точностью 1 %</v>
      </c>
      <c r="C34" s="3" t="s">
        <v>26</v>
      </c>
      <c r="D34" s="3" t="s">
        <v>29</v>
      </c>
      <c r="E34" s="3" t="s">
        <v>26</v>
      </c>
      <c r="F34" s="5">
        <f t="shared" si="0"/>
        <v>22</v>
      </c>
      <c r="G34" s="4">
        <v>0.01</v>
      </c>
      <c r="H34" s="3" t="s">
        <v>132</v>
      </c>
      <c r="I34" s="3" t="s">
        <v>32</v>
      </c>
      <c r="K34" s="2"/>
    </row>
    <row r="35" spans="1:11" ht="15.5" x14ac:dyDescent="0.35">
      <c r="A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Resistor_24_1_0603</v>
      </c>
      <c r="B35" s="8" t="str">
        <f>CONCATENATE("Резистор номиналом ",Таблица6[[#This Row],[Value]],"Ом и точностью ",Таблица6[[#This Row],[Tolerance]]*100," %")</f>
        <v>Резистор номиналом 24Ом и точностью 1 %</v>
      </c>
      <c r="C35" s="3" t="s">
        <v>26</v>
      </c>
      <c r="D35" s="3" t="s">
        <v>29</v>
      </c>
      <c r="E35" s="3" t="s">
        <v>26</v>
      </c>
      <c r="F35" s="5">
        <f t="shared" si="0"/>
        <v>24</v>
      </c>
      <c r="G35" s="4">
        <v>0.01</v>
      </c>
      <c r="H35" s="3" t="s">
        <v>132</v>
      </c>
      <c r="I35" s="3" t="s">
        <v>32</v>
      </c>
      <c r="K35" s="2"/>
    </row>
    <row r="36" spans="1:11" ht="15.5" x14ac:dyDescent="0.35">
      <c r="A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Resistor_27_1_0603</v>
      </c>
      <c r="B36" s="8" t="str">
        <f>CONCATENATE("Резистор номиналом ",Таблица6[[#This Row],[Value]],"Ом и точностью ",Таблица6[[#This Row],[Tolerance]]*100," %")</f>
        <v>Резистор номиналом 27Ом и точностью 1 %</v>
      </c>
      <c r="C36" s="3" t="s">
        <v>26</v>
      </c>
      <c r="D36" s="3" t="s">
        <v>29</v>
      </c>
      <c r="E36" s="3" t="s">
        <v>26</v>
      </c>
      <c r="F36" s="5">
        <f t="shared" si="0"/>
        <v>27</v>
      </c>
      <c r="G36" s="4">
        <v>0.01</v>
      </c>
      <c r="H36" s="3" t="s">
        <v>132</v>
      </c>
      <c r="I36" s="3" t="s">
        <v>32</v>
      </c>
      <c r="K36" s="2"/>
    </row>
    <row r="37" spans="1:11" ht="15.5" x14ac:dyDescent="0.35">
      <c r="A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Resistor_30_1_0603</v>
      </c>
      <c r="B37" s="8" t="str">
        <f>CONCATENATE("Резистор номиналом ",Таблица6[[#This Row],[Value]],"Ом и точностью ",Таблица6[[#This Row],[Tolerance]]*100," %")</f>
        <v>Резистор номиналом 30Ом и точностью 1 %</v>
      </c>
      <c r="C37" s="3" t="s">
        <v>26</v>
      </c>
      <c r="D37" s="3" t="s">
        <v>29</v>
      </c>
      <c r="E37" s="3" t="s">
        <v>26</v>
      </c>
      <c r="F37" s="5">
        <f t="shared" si="0"/>
        <v>30</v>
      </c>
      <c r="G37" s="4">
        <v>0.01</v>
      </c>
      <c r="H37" s="3" t="s">
        <v>132</v>
      </c>
      <c r="I37" s="3" t="s">
        <v>32</v>
      </c>
      <c r="K37" s="2"/>
    </row>
    <row r="38" spans="1:11" ht="15.5" x14ac:dyDescent="0.35">
      <c r="A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Resistor_33_1_0603</v>
      </c>
      <c r="B38" s="8" t="str">
        <f>CONCATENATE("Резистор номиналом ",Таблица6[[#This Row],[Value]],"Ом и точностью ",Таблица6[[#This Row],[Tolerance]]*100," %")</f>
        <v>Резистор номиналом 33Ом и точностью 1 %</v>
      </c>
      <c r="C38" s="3" t="s">
        <v>26</v>
      </c>
      <c r="D38" s="3" t="s">
        <v>29</v>
      </c>
      <c r="E38" s="3" t="s">
        <v>26</v>
      </c>
      <c r="F38" s="5">
        <f t="shared" si="0"/>
        <v>33</v>
      </c>
      <c r="G38" s="4">
        <v>0.01</v>
      </c>
      <c r="H38" s="3" t="s">
        <v>132</v>
      </c>
      <c r="I38" s="3" t="s">
        <v>32</v>
      </c>
      <c r="K38" s="2"/>
    </row>
    <row r="39" spans="1:11" ht="15.5" x14ac:dyDescent="0.35">
      <c r="A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Resistor_36_1_0603</v>
      </c>
      <c r="B39" s="8" t="str">
        <f>CONCATENATE("Резистор номиналом ",Таблица6[[#This Row],[Value]],"Ом и точностью ",Таблица6[[#This Row],[Tolerance]]*100," %")</f>
        <v>Резистор номиналом 36Ом и точностью 1 %</v>
      </c>
      <c r="C39" s="3" t="s">
        <v>26</v>
      </c>
      <c r="D39" s="3" t="s">
        <v>29</v>
      </c>
      <c r="E39" s="3" t="s">
        <v>26</v>
      </c>
      <c r="F39" s="5">
        <f t="shared" si="0"/>
        <v>36</v>
      </c>
      <c r="G39" s="4">
        <v>0.01</v>
      </c>
      <c r="H39" s="3" t="s">
        <v>132</v>
      </c>
      <c r="I39" s="3" t="s">
        <v>32</v>
      </c>
      <c r="K39" s="2"/>
    </row>
    <row r="40" spans="1:11" ht="15.5" x14ac:dyDescent="0.35">
      <c r="A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Resistor_39_1_0603</v>
      </c>
      <c r="B40" s="8" t="str">
        <f>CONCATENATE("Резистор номиналом ",Таблица6[[#This Row],[Value]],"Ом и точностью ",Таблица6[[#This Row],[Tolerance]]*100," %")</f>
        <v>Резистор номиналом 39Ом и точностью 1 %</v>
      </c>
      <c r="C40" s="3" t="s">
        <v>26</v>
      </c>
      <c r="D40" s="3" t="s">
        <v>29</v>
      </c>
      <c r="E40" s="3" t="s">
        <v>26</v>
      </c>
      <c r="F40" s="5">
        <f t="shared" si="0"/>
        <v>39</v>
      </c>
      <c r="G40" s="4">
        <v>0.01</v>
      </c>
      <c r="H40" s="3" t="s">
        <v>132</v>
      </c>
      <c r="I40" s="3" t="s">
        <v>32</v>
      </c>
      <c r="K40" s="2"/>
    </row>
    <row r="41" spans="1:11" ht="15.5" x14ac:dyDescent="0.35">
      <c r="A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Resistor_43_1_0603</v>
      </c>
      <c r="B41" s="8" t="str">
        <f>CONCATENATE("Резистор номиналом ",Таблица6[[#This Row],[Value]],"Ом и точностью ",Таблица6[[#This Row],[Tolerance]]*100," %")</f>
        <v>Резистор номиналом 43Ом и точностью 1 %</v>
      </c>
      <c r="C41" s="3" t="s">
        <v>26</v>
      </c>
      <c r="D41" s="3" t="s">
        <v>29</v>
      </c>
      <c r="E41" s="3" t="s">
        <v>26</v>
      </c>
      <c r="F41" s="5">
        <f t="shared" si="0"/>
        <v>43</v>
      </c>
      <c r="G41" s="4">
        <v>0.01</v>
      </c>
      <c r="H41" s="3" t="s">
        <v>132</v>
      </c>
      <c r="I41" s="3" t="s">
        <v>32</v>
      </c>
      <c r="K41" s="2"/>
    </row>
    <row r="42" spans="1:11" ht="15.5" x14ac:dyDescent="0.35">
      <c r="A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Resistor_47_1_0603</v>
      </c>
      <c r="B42" s="8" t="str">
        <f>CONCATENATE("Резистор номиналом ",Таблица6[[#This Row],[Value]],"Ом и точностью ",Таблица6[[#This Row],[Tolerance]]*100," %")</f>
        <v>Резистор номиналом 47Ом и точностью 1 %</v>
      </c>
      <c r="C42" s="3" t="s">
        <v>26</v>
      </c>
      <c r="D42" s="3" t="s">
        <v>29</v>
      </c>
      <c r="E42" s="3" t="s">
        <v>26</v>
      </c>
      <c r="F42" s="5">
        <f t="shared" si="0"/>
        <v>47</v>
      </c>
      <c r="G42" s="4">
        <v>0.01</v>
      </c>
      <c r="H42" s="3" t="s">
        <v>132</v>
      </c>
      <c r="I42" s="3" t="s">
        <v>32</v>
      </c>
      <c r="K42" s="2"/>
    </row>
    <row r="43" spans="1:11" ht="15.5" x14ac:dyDescent="0.35">
      <c r="A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Resistor_51_1_0603</v>
      </c>
      <c r="B43" s="8" t="str">
        <f>CONCATENATE("Резистор номиналом ",Таблица6[[#This Row],[Value]],"Ом и точностью ",Таблица6[[#This Row],[Tolerance]]*100," %")</f>
        <v>Резистор номиналом 51Ом и точностью 1 %</v>
      </c>
      <c r="C43" s="3" t="s">
        <v>26</v>
      </c>
      <c r="D43" s="3" t="s">
        <v>29</v>
      </c>
      <c r="E43" s="3" t="s">
        <v>26</v>
      </c>
      <c r="F43" s="5">
        <f t="shared" si="0"/>
        <v>51</v>
      </c>
      <c r="G43" s="4">
        <v>0.01</v>
      </c>
      <c r="H43" s="3" t="s">
        <v>132</v>
      </c>
      <c r="I43" s="3" t="s">
        <v>32</v>
      </c>
      <c r="K43" s="2"/>
    </row>
    <row r="44" spans="1:11" ht="15.5" x14ac:dyDescent="0.35">
      <c r="A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Resistor_56_1_0603</v>
      </c>
      <c r="B44" s="8" t="str">
        <f>CONCATENATE("Резистор номиналом ",Таблица6[[#This Row],[Value]],"Ом и точностью ",Таблица6[[#This Row],[Tolerance]]*100," %")</f>
        <v>Резистор номиналом 56Ом и точностью 1 %</v>
      </c>
      <c r="C44" s="3" t="s">
        <v>26</v>
      </c>
      <c r="D44" s="3" t="s">
        <v>29</v>
      </c>
      <c r="E44" s="3" t="s">
        <v>26</v>
      </c>
      <c r="F44" s="5">
        <f t="shared" si="0"/>
        <v>56</v>
      </c>
      <c r="G44" s="4">
        <v>0.01</v>
      </c>
      <c r="H44" s="3" t="s">
        <v>132</v>
      </c>
      <c r="I44" s="3" t="s">
        <v>32</v>
      </c>
      <c r="K44" s="2"/>
    </row>
    <row r="45" spans="1:11" ht="15.5" x14ac:dyDescent="0.35">
      <c r="A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Resistor_62_1_0603</v>
      </c>
      <c r="B45" s="8" t="str">
        <f>CONCATENATE("Резистор номиналом ",Таблица6[[#This Row],[Value]],"Ом и точностью ",Таблица6[[#This Row],[Tolerance]]*100," %")</f>
        <v>Резистор номиналом 62Ом и точностью 1 %</v>
      </c>
      <c r="C45" s="3" t="s">
        <v>26</v>
      </c>
      <c r="D45" s="3" t="s">
        <v>29</v>
      </c>
      <c r="E45" s="3" t="s">
        <v>26</v>
      </c>
      <c r="F45" s="5">
        <f t="shared" si="0"/>
        <v>62</v>
      </c>
      <c r="G45" s="4">
        <v>0.01</v>
      </c>
      <c r="H45" s="3" t="s">
        <v>132</v>
      </c>
      <c r="I45" s="3" t="s">
        <v>32</v>
      </c>
      <c r="K45" s="2"/>
    </row>
    <row r="46" spans="1:11" ht="15.5" x14ac:dyDescent="0.35">
      <c r="A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Resistor_68_1_0603</v>
      </c>
      <c r="B46" s="8" t="str">
        <f>CONCATENATE("Резистор номиналом ",Таблица6[[#This Row],[Value]],"Ом и точностью ",Таблица6[[#This Row],[Tolerance]]*100," %")</f>
        <v>Резистор номиналом 68Ом и точностью 1 %</v>
      </c>
      <c r="C46" s="3" t="s">
        <v>26</v>
      </c>
      <c r="D46" s="3" t="s">
        <v>29</v>
      </c>
      <c r="E46" s="3" t="s">
        <v>26</v>
      </c>
      <c r="F46" s="5">
        <f t="shared" si="0"/>
        <v>68</v>
      </c>
      <c r="G46" s="4">
        <v>0.01</v>
      </c>
      <c r="H46" s="3" t="s">
        <v>132</v>
      </c>
      <c r="I46" s="3" t="s">
        <v>32</v>
      </c>
      <c r="K46" s="2"/>
    </row>
    <row r="47" spans="1:11" ht="15.5" x14ac:dyDescent="0.35">
      <c r="A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Resistor_75_1_0603</v>
      </c>
      <c r="B47" s="8" t="str">
        <f>CONCATENATE("Резистор номиналом ",Таблица6[[#This Row],[Value]],"Ом и точностью ",Таблица6[[#This Row],[Tolerance]]*100," %")</f>
        <v>Резистор номиналом 75Ом и точностью 1 %</v>
      </c>
      <c r="C47" s="3" t="s">
        <v>26</v>
      </c>
      <c r="D47" s="3" t="s">
        <v>29</v>
      </c>
      <c r="E47" s="3" t="s">
        <v>26</v>
      </c>
      <c r="F47" s="5">
        <f t="shared" si="0"/>
        <v>75</v>
      </c>
      <c r="G47" s="4">
        <v>0.01</v>
      </c>
      <c r="H47" s="3" t="s">
        <v>132</v>
      </c>
      <c r="I47" s="3" t="s">
        <v>32</v>
      </c>
      <c r="K47" s="2"/>
    </row>
    <row r="48" spans="1:11" ht="15.5" x14ac:dyDescent="0.35">
      <c r="A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Resistor_82_1_0603</v>
      </c>
      <c r="B48" s="8" t="str">
        <f>CONCATENATE("Резистор номиналом ",Таблица6[[#This Row],[Value]],"Ом и точностью ",Таблица6[[#This Row],[Tolerance]]*100," %")</f>
        <v>Резистор номиналом 82Ом и точностью 1 %</v>
      </c>
      <c r="C48" s="3" t="s">
        <v>26</v>
      </c>
      <c r="D48" s="3" t="s">
        <v>29</v>
      </c>
      <c r="E48" s="3" t="s">
        <v>26</v>
      </c>
      <c r="F48" s="5">
        <f t="shared" si="0"/>
        <v>82</v>
      </c>
      <c r="G48" s="4">
        <v>0.01</v>
      </c>
      <c r="H48" s="3" t="s">
        <v>132</v>
      </c>
      <c r="I48" s="3" t="s">
        <v>32</v>
      </c>
      <c r="K48" s="2"/>
    </row>
    <row r="49" spans="1:11" ht="15.5" x14ac:dyDescent="0.35">
      <c r="A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Resistor_91_1_0603</v>
      </c>
      <c r="B49" s="8" t="str">
        <f>CONCATENATE("Резистор номиналом ",Таблица6[[#This Row],[Value]],"Ом и точностью ",Таблица6[[#This Row],[Tolerance]]*100," %")</f>
        <v>Резистор номиналом 91Ом и точностью 1 %</v>
      </c>
      <c r="C49" s="3" t="s">
        <v>26</v>
      </c>
      <c r="D49" s="3" t="s">
        <v>29</v>
      </c>
      <c r="E49" s="3" t="s">
        <v>26</v>
      </c>
      <c r="F49" s="5">
        <f t="shared" si="0"/>
        <v>91</v>
      </c>
      <c r="G49" s="4">
        <v>0.01</v>
      </c>
      <c r="H49" s="3" t="s">
        <v>132</v>
      </c>
      <c r="I49" s="3" t="s">
        <v>32</v>
      </c>
      <c r="K49" s="2"/>
    </row>
    <row r="50" spans="1:11" ht="15.5" x14ac:dyDescent="0.35">
      <c r="A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Resistor_100_1_0603</v>
      </c>
      <c r="B50" s="8" t="str">
        <f>CONCATENATE("Резистор номиналом ",Таблица6[[#This Row],[Value]],"Ом и точностью ",Таблица6[[#This Row],[Tolerance]]*100," %")</f>
        <v>Резистор номиналом 100Ом и точностью 1 %</v>
      </c>
      <c r="C50" s="3" t="s">
        <v>26</v>
      </c>
      <c r="D50" s="3" t="s">
        <v>29</v>
      </c>
      <c r="E50" s="3" t="s">
        <v>26</v>
      </c>
      <c r="F50" s="5">
        <f t="shared" si="0"/>
        <v>100</v>
      </c>
      <c r="G50" s="4">
        <v>0.01</v>
      </c>
      <c r="H50" s="3" t="s">
        <v>132</v>
      </c>
      <c r="I50" s="3" t="s">
        <v>32</v>
      </c>
      <c r="K50" s="2"/>
    </row>
    <row r="51" spans="1:11" ht="15.5" x14ac:dyDescent="0.35">
      <c r="A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Resistor_110_1_0603</v>
      </c>
      <c r="B51" s="8" t="str">
        <f>CONCATENATE("Резистор номиналом ",Таблица6[[#This Row],[Value]],"Ом и точностью ",Таблица6[[#This Row],[Tolerance]]*100," %")</f>
        <v>Резистор номиналом 110Ом и точностью 1 %</v>
      </c>
      <c r="C51" s="3" t="s">
        <v>26</v>
      </c>
      <c r="D51" s="3" t="s">
        <v>29</v>
      </c>
      <c r="E51" s="3" t="s">
        <v>26</v>
      </c>
      <c r="F51" s="5">
        <f t="shared" si="0"/>
        <v>110</v>
      </c>
      <c r="G51" s="4">
        <v>0.01</v>
      </c>
      <c r="H51" s="3" t="s">
        <v>132</v>
      </c>
      <c r="I51" s="3" t="s">
        <v>32</v>
      </c>
      <c r="K51" s="2"/>
    </row>
    <row r="52" spans="1:11" ht="15.5" x14ac:dyDescent="0.35">
      <c r="A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Resistor_120_1_0603</v>
      </c>
      <c r="B52" s="8" t="str">
        <f>CONCATENATE("Резистор номиналом ",Таблица6[[#This Row],[Value]],"Ом и точностью ",Таблица6[[#This Row],[Tolerance]]*100," %")</f>
        <v>Резистор номиналом 120Ом и точностью 1 %</v>
      </c>
      <c r="C52" s="3" t="s">
        <v>26</v>
      </c>
      <c r="D52" s="3" t="s">
        <v>29</v>
      </c>
      <c r="E52" s="3" t="s">
        <v>26</v>
      </c>
      <c r="F52" s="5">
        <f t="shared" si="0"/>
        <v>120</v>
      </c>
      <c r="G52" s="4">
        <v>0.01</v>
      </c>
      <c r="H52" s="3" t="s">
        <v>132</v>
      </c>
      <c r="I52" s="3" t="s">
        <v>32</v>
      </c>
      <c r="K52" s="2"/>
    </row>
    <row r="53" spans="1:11" ht="15.5" x14ac:dyDescent="0.35">
      <c r="A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Resistor_130_1_0603</v>
      </c>
      <c r="B53" s="8" t="str">
        <f>CONCATENATE("Резистор номиналом ",Таблица6[[#This Row],[Value]],"Ом и точностью ",Таблица6[[#This Row],[Tolerance]]*100," %")</f>
        <v>Резистор номиналом 130Ом и точностью 1 %</v>
      </c>
      <c r="C53" s="3" t="s">
        <v>26</v>
      </c>
      <c r="D53" s="3" t="s">
        <v>29</v>
      </c>
      <c r="E53" s="3" t="s">
        <v>26</v>
      </c>
      <c r="F53" s="5">
        <f t="shared" si="0"/>
        <v>130</v>
      </c>
      <c r="G53" s="4">
        <v>0.01</v>
      </c>
      <c r="H53" s="3" t="s">
        <v>132</v>
      </c>
      <c r="I53" s="3" t="s">
        <v>32</v>
      </c>
      <c r="K53" s="2"/>
    </row>
    <row r="54" spans="1:11" ht="15.5" x14ac:dyDescent="0.35">
      <c r="A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Resistor_150_1_0603</v>
      </c>
      <c r="B54" s="8" t="str">
        <f>CONCATENATE("Резистор номиналом ",Таблица6[[#This Row],[Value]],"Ом и точностью ",Таблица6[[#This Row],[Tolerance]]*100," %")</f>
        <v>Резистор номиналом 150Ом и точностью 1 %</v>
      </c>
      <c r="C54" s="3" t="s">
        <v>26</v>
      </c>
      <c r="D54" s="3" t="s">
        <v>29</v>
      </c>
      <c r="E54" s="3" t="s">
        <v>26</v>
      </c>
      <c r="F54" s="5">
        <f t="shared" si="0"/>
        <v>150</v>
      </c>
      <c r="G54" s="4">
        <v>0.01</v>
      </c>
      <c r="H54" s="3" t="s">
        <v>132</v>
      </c>
      <c r="I54" s="3" t="s">
        <v>32</v>
      </c>
      <c r="K54" s="2"/>
    </row>
    <row r="55" spans="1:11" ht="15.5" x14ac:dyDescent="0.35">
      <c r="A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Resistor_160_1_0603</v>
      </c>
      <c r="B55" s="8" t="str">
        <f>CONCATENATE("Резистор номиналом ",Таблица6[[#This Row],[Value]],"Ом и точностью ",Таблица6[[#This Row],[Tolerance]]*100," %")</f>
        <v>Резистор номиналом 160Ом и точностью 1 %</v>
      </c>
      <c r="C55" s="3" t="s">
        <v>26</v>
      </c>
      <c r="D55" s="3" t="s">
        <v>29</v>
      </c>
      <c r="E55" s="3" t="s">
        <v>26</v>
      </c>
      <c r="F55" s="5">
        <f t="shared" si="0"/>
        <v>160</v>
      </c>
      <c r="G55" s="4">
        <v>0.01</v>
      </c>
      <c r="H55" s="3" t="s">
        <v>132</v>
      </c>
      <c r="I55" s="3" t="s">
        <v>32</v>
      </c>
      <c r="K55" s="2"/>
    </row>
    <row r="56" spans="1:11" ht="15.5" x14ac:dyDescent="0.35">
      <c r="A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Resistor_180_1_0603</v>
      </c>
      <c r="B56" s="8" t="str">
        <f>CONCATENATE("Резистор номиналом ",Таблица6[[#This Row],[Value]],"Ом и точностью ",Таблица6[[#This Row],[Tolerance]]*100," %")</f>
        <v>Резистор номиналом 180Ом и точностью 1 %</v>
      </c>
      <c r="C56" s="3" t="s">
        <v>26</v>
      </c>
      <c r="D56" s="3" t="s">
        <v>29</v>
      </c>
      <c r="E56" s="3" t="s">
        <v>26</v>
      </c>
      <c r="F56" s="5">
        <f t="shared" si="0"/>
        <v>180</v>
      </c>
      <c r="G56" s="4">
        <v>0.01</v>
      </c>
      <c r="H56" s="3" t="s">
        <v>132</v>
      </c>
      <c r="I56" s="3" t="s">
        <v>32</v>
      </c>
      <c r="K56" s="2"/>
    </row>
    <row r="57" spans="1:11" ht="15.5" x14ac:dyDescent="0.35">
      <c r="A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Resistor_200_1_0603</v>
      </c>
      <c r="B57" s="8" t="str">
        <f>CONCATENATE("Резистор номиналом ",Таблица6[[#This Row],[Value]],"Ом и точностью ",Таблица6[[#This Row],[Tolerance]]*100," %")</f>
        <v>Резистор номиналом 200Ом и точностью 1 %</v>
      </c>
      <c r="C57" s="3" t="s">
        <v>26</v>
      </c>
      <c r="D57" s="3" t="s">
        <v>29</v>
      </c>
      <c r="E57" s="3" t="s">
        <v>26</v>
      </c>
      <c r="F57" s="5">
        <f t="shared" si="0"/>
        <v>200</v>
      </c>
      <c r="G57" s="4">
        <v>0.01</v>
      </c>
      <c r="H57" s="3" t="s">
        <v>132</v>
      </c>
      <c r="I57" s="3" t="s">
        <v>32</v>
      </c>
      <c r="K57" s="2"/>
    </row>
    <row r="58" spans="1:11" ht="15.5" x14ac:dyDescent="0.35">
      <c r="A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Resistor_220_1_0603</v>
      </c>
      <c r="B58" s="8" t="str">
        <f>CONCATENATE("Резистор номиналом ",Таблица6[[#This Row],[Value]],"Ом и точностью ",Таблица6[[#This Row],[Tolerance]]*100," %")</f>
        <v>Резистор номиналом 220Ом и точностью 1 %</v>
      </c>
      <c r="C58" s="3" t="s">
        <v>26</v>
      </c>
      <c r="D58" s="3" t="s">
        <v>29</v>
      </c>
      <c r="E58" s="3" t="s">
        <v>26</v>
      </c>
      <c r="F58" s="5">
        <f t="shared" si="0"/>
        <v>220</v>
      </c>
      <c r="G58" s="4">
        <v>0.01</v>
      </c>
      <c r="H58" s="3" t="s">
        <v>132</v>
      </c>
      <c r="I58" s="3" t="s">
        <v>32</v>
      </c>
      <c r="K58" s="2"/>
    </row>
    <row r="59" spans="1:11" ht="15.5" x14ac:dyDescent="0.35">
      <c r="A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Resistor_240_1_0603</v>
      </c>
      <c r="B59" s="8" t="str">
        <f>CONCATENATE("Резистор номиналом ",Таблица6[[#This Row],[Value]],"Ом и точностью ",Таблица6[[#This Row],[Tolerance]]*100," %")</f>
        <v>Резистор номиналом 240Ом и точностью 1 %</v>
      </c>
      <c r="C59" s="3" t="s">
        <v>26</v>
      </c>
      <c r="D59" s="3" t="s">
        <v>29</v>
      </c>
      <c r="E59" s="3" t="s">
        <v>26</v>
      </c>
      <c r="F59" s="5">
        <f t="shared" si="0"/>
        <v>240</v>
      </c>
      <c r="G59" s="4">
        <v>0.01</v>
      </c>
      <c r="H59" s="3" t="s">
        <v>132</v>
      </c>
      <c r="I59" s="3" t="s">
        <v>32</v>
      </c>
      <c r="K59" s="2"/>
    </row>
    <row r="60" spans="1:11" ht="15.5" x14ac:dyDescent="0.35">
      <c r="A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Resistor_270_1_0603</v>
      </c>
      <c r="B60" s="8" t="str">
        <f>CONCATENATE("Резистор номиналом ",Таблица6[[#This Row],[Value]],"Ом и точностью ",Таблица6[[#This Row],[Tolerance]]*100," %")</f>
        <v>Резистор номиналом 270Ом и точностью 1 %</v>
      </c>
      <c r="C60" s="3" t="s">
        <v>26</v>
      </c>
      <c r="D60" s="3" t="s">
        <v>29</v>
      </c>
      <c r="E60" s="3" t="s">
        <v>26</v>
      </c>
      <c r="F60" s="5">
        <f t="shared" si="0"/>
        <v>270</v>
      </c>
      <c r="G60" s="4">
        <v>0.01</v>
      </c>
      <c r="H60" s="3" t="s">
        <v>132</v>
      </c>
      <c r="I60" s="3" t="s">
        <v>32</v>
      </c>
      <c r="K60" s="2"/>
    </row>
    <row r="61" spans="1:11" ht="15.5" x14ac:dyDescent="0.35">
      <c r="A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Resistor_300_1_0603</v>
      </c>
      <c r="B61" s="8" t="str">
        <f>CONCATENATE("Резистор номиналом ",Таблица6[[#This Row],[Value]],"Ом и точностью ",Таблица6[[#This Row],[Tolerance]]*100," %")</f>
        <v>Резистор номиналом 300Ом и точностью 1 %</v>
      </c>
      <c r="C61" s="3" t="s">
        <v>26</v>
      </c>
      <c r="D61" s="3" t="s">
        <v>29</v>
      </c>
      <c r="E61" s="3" t="s">
        <v>26</v>
      </c>
      <c r="F61" s="5">
        <f t="shared" si="0"/>
        <v>300</v>
      </c>
      <c r="G61" s="4">
        <v>0.01</v>
      </c>
      <c r="H61" s="3" t="s">
        <v>132</v>
      </c>
      <c r="I61" s="3" t="s">
        <v>32</v>
      </c>
      <c r="K61" s="2"/>
    </row>
    <row r="62" spans="1:11" ht="15.5" x14ac:dyDescent="0.35">
      <c r="A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Resistor_330_1_0603</v>
      </c>
      <c r="B62" s="8" t="str">
        <f>CONCATENATE("Резистор номиналом ",Таблица6[[#This Row],[Value]],"Ом и точностью ",Таблица6[[#This Row],[Tolerance]]*100," %")</f>
        <v>Резистор номиналом 330Ом и точностью 1 %</v>
      </c>
      <c r="C62" s="3" t="s">
        <v>26</v>
      </c>
      <c r="D62" s="3" t="s">
        <v>29</v>
      </c>
      <c r="E62" s="3" t="s">
        <v>26</v>
      </c>
      <c r="F62" s="5">
        <f t="shared" si="0"/>
        <v>330</v>
      </c>
      <c r="G62" s="4">
        <v>0.01</v>
      </c>
      <c r="H62" s="3" t="s">
        <v>132</v>
      </c>
      <c r="I62" s="3" t="s">
        <v>32</v>
      </c>
      <c r="K62" s="2"/>
    </row>
    <row r="63" spans="1:11" ht="15.5" x14ac:dyDescent="0.35">
      <c r="A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Resistor_360_1_0603</v>
      </c>
      <c r="B63" s="8" t="str">
        <f>CONCATENATE("Резистор номиналом ",Таблица6[[#This Row],[Value]],"Ом и точностью ",Таблица6[[#This Row],[Tolerance]]*100," %")</f>
        <v>Резистор номиналом 360Ом и точностью 1 %</v>
      </c>
      <c r="C63" s="3" t="s">
        <v>26</v>
      </c>
      <c r="D63" s="3" t="s">
        <v>29</v>
      </c>
      <c r="E63" s="3" t="s">
        <v>26</v>
      </c>
      <c r="F63" s="5">
        <f t="shared" si="0"/>
        <v>360</v>
      </c>
      <c r="G63" s="4">
        <v>0.01</v>
      </c>
      <c r="H63" s="3" t="s">
        <v>132</v>
      </c>
      <c r="I63" s="3" t="s">
        <v>32</v>
      </c>
      <c r="K63" s="2"/>
    </row>
    <row r="64" spans="1:11" ht="15.5" x14ac:dyDescent="0.35">
      <c r="A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Resistor_390_1_0603</v>
      </c>
      <c r="B64" s="8" t="str">
        <f>CONCATENATE("Резистор номиналом ",Таблица6[[#This Row],[Value]],"Ом и точностью ",Таблица6[[#This Row],[Tolerance]]*100," %")</f>
        <v>Резистор номиналом 390Ом и точностью 1 %</v>
      </c>
      <c r="C64" s="3" t="s">
        <v>26</v>
      </c>
      <c r="D64" s="3" t="s">
        <v>29</v>
      </c>
      <c r="E64" s="3" t="s">
        <v>26</v>
      </c>
      <c r="F64" s="5">
        <f t="shared" si="0"/>
        <v>390</v>
      </c>
      <c r="G64" s="4">
        <v>0.01</v>
      </c>
      <c r="H64" s="3" t="s">
        <v>132</v>
      </c>
      <c r="I64" s="3" t="s">
        <v>32</v>
      </c>
      <c r="K64" s="2"/>
    </row>
    <row r="65" spans="1:11" ht="15.5" x14ac:dyDescent="0.35">
      <c r="A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Resistor_430_1_0603</v>
      </c>
      <c r="B65" s="8" t="str">
        <f>CONCATENATE("Резистор номиналом ",Таблица6[[#This Row],[Value]],"Ом и точностью ",Таблица6[[#This Row],[Tolerance]]*100," %")</f>
        <v>Резистор номиналом 430Ом и точностью 1 %</v>
      </c>
      <c r="C65" s="3" t="s">
        <v>26</v>
      </c>
      <c r="D65" s="3" t="s">
        <v>29</v>
      </c>
      <c r="E65" s="3" t="s">
        <v>26</v>
      </c>
      <c r="F65" s="5">
        <f t="shared" si="0"/>
        <v>430</v>
      </c>
      <c r="G65" s="4">
        <v>0.01</v>
      </c>
      <c r="H65" s="3" t="s">
        <v>132</v>
      </c>
      <c r="I65" s="3" t="s">
        <v>32</v>
      </c>
      <c r="K65" s="2"/>
    </row>
    <row r="66" spans="1:11" ht="15.5" x14ac:dyDescent="0.35">
      <c r="A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Resistor_470_1_0603</v>
      </c>
      <c r="B66" s="8" t="str">
        <f>CONCATENATE("Резистор номиналом ",Таблица6[[#This Row],[Value]],"Ом и точностью ",Таблица6[[#This Row],[Tolerance]]*100," %")</f>
        <v>Резистор номиналом 470Ом и точностью 1 %</v>
      </c>
      <c r="C66" s="3" t="s">
        <v>26</v>
      </c>
      <c r="D66" s="3" t="s">
        <v>29</v>
      </c>
      <c r="E66" s="3" t="s">
        <v>26</v>
      </c>
      <c r="F66" s="5">
        <f t="shared" si="0"/>
        <v>470</v>
      </c>
      <c r="G66" s="4">
        <v>0.01</v>
      </c>
      <c r="H66" s="3" t="s">
        <v>132</v>
      </c>
      <c r="I66" s="3" t="s">
        <v>32</v>
      </c>
      <c r="K66" s="2"/>
    </row>
    <row r="67" spans="1:11" ht="15.5" x14ac:dyDescent="0.35">
      <c r="A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Resistor_510_1_0603</v>
      </c>
      <c r="B67" s="8" t="str">
        <f>CONCATENATE("Резистор номиналом ",Таблица6[[#This Row],[Value]],"Ом и точностью ",Таблица6[[#This Row],[Tolerance]]*100," %")</f>
        <v>Резистор номиналом 510Ом и точностью 1 %</v>
      </c>
      <c r="C67" s="3" t="s">
        <v>26</v>
      </c>
      <c r="D67" s="3" t="s">
        <v>29</v>
      </c>
      <c r="E67" s="3" t="s">
        <v>26</v>
      </c>
      <c r="F67" s="5">
        <f t="shared" si="0"/>
        <v>510</v>
      </c>
      <c r="G67" s="4">
        <v>0.01</v>
      </c>
      <c r="H67" s="3" t="s">
        <v>132</v>
      </c>
      <c r="I67" s="3" t="s">
        <v>32</v>
      </c>
      <c r="K67" s="2"/>
    </row>
    <row r="68" spans="1:11" ht="15.5" x14ac:dyDescent="0.35">
      <c r="A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Resistor_560_1_0603</v>
      </c>
      <c r="B68" s="8" t="str">
        <f>CONCATENATE("Резистор номиналом ",Таблица6[[#This Row],[Value]],"Ом и точностью ",Таблица6[[#This Row],[Tolerance]]*100," %")</f>
        <v>Резистор номиналом 560Ом и точностью 1 %</v>
      </c>
      <c r="C68" s="3" t="s">
        <v>26</v>
      </c>
      <c r="D68" s="3" t="s">
        <v>29</v>
      </c>
      <c r="E68" s="3" t="s">
        <v>26</v>
      </c>
      <c r="F68" s="5">
        <f t="shared" si="0"/>
        <v>560</v>
      </c>
      <c r="G68" s="4">
        <v>0.01</v>
      </c>
      <c r="H68" s="3" t="s">
        <v>132</v>
      </c>
      <c r="I68" s="3" t="s">
        <v>32</v>
      </c>
      <c r="K68" s="2"/>
    </row>
    <row r="69" spans="1:11" ht="15.5" x14ac:dyDescent="0.35">
      <c r="A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Resistor_620_1_0603</v>
      </c>
      <c r="B69" s="8" t="str">
        <f>CONCATENATE("Резистор номиналом ",Таблица6[[#This Row],[Value]],"Ом и точностью ",Таблица6[[#This Row],[Tolerance]]*100," %")</f>
        <v>Резистор номиналом 620Ом и точностью 1 %</v>
      </c>
      <c r="C69" s="3" t="s">
        <v>26</v>
      </c>
      <c r="D69" s="3" t="s">
        <v>29</v>
      </c>
      <c r="E69" s="3" t="s">
        <v>26</v>
      </c>
      <c r="F69" s="5">
        <f t="shared" si="0"/>
        <v>620</v>
      </c>
      <c r="G69" s="4">
        <v>0.01</v>
      </c>
      <c r="H69" s="3" t="s">
        <v>132</v>
      </c>
      <c r="I69" s="3" t="s">
        <v>32</v>
      </c>
      <c r="K69" s="2"/>
    </row>
    <row r="70" spans="1:11" ht="15.5" x14ac:dyDescent="0.35">
      <c r="A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Resistor_680_1_0603</v>
      </c>
      <c r="B70" s="8" t="str">
        <f>CONCATENATE("Резистор номиналом ",Таблица6[[#This Row],[Value]],"Ом и точностью ",Таблица6[[#This Row],[Tolerance]]*100," %")</f>
        <v>Резистор номиналом 680Ом и точностью 1 %</v>
      </c>
      <c r="C70" s="3" t="s">
        <v>26</v>
      </c>
      <c r="D70" s="3" t="s">
        <v>29</v>
      </c>
      <c r="E70" s="3" t="s">
        <v>26</v>
      </c>
      <c r="F70" s="5">
        <f t="shared" si="0"/>
        <v>680</v>
      </c>
      <c r="G70" s="4">
        <v>0.01</v>
      </c>
      <c r="H70" s="3" t="s">
        <v>132</v>
      </c>
      <c r="I70" s="3" t="s">
        <v>32</v>
      </c>
      <c r="K70" s="2"/>
    </row>
    <row r="71" spans="1:11" ht="15.5" x14ac:dyDescent="0.35">
      <c r="A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Resistor_750_1_0603</v>
      </c>
      <c r="B71" s="8" t="str">
        <f>CONCATENATE("Резистор номиналом ",Таблица6[[#This Row],[Value]],"Ом и точностью ",Таблица6[[#This Row],[Tolerance]]*100," %")</f>
        <v>Резистор номиналом 750Ом и точностью 1 %</v>
      </c>
      <c r="C71" s="3" t="s">
        <v>26</v>
      </c>
      <c r="D71" s="3" t="s">
        <v>29</v>
      </c>
      <c r="E71" s="3" t="s">
        <v>26</v>
      </c>
      <c r="F71" s="5">
        <f t="shared" si="0"/>
        <v>750</v>
      </c>
      <c r="G71" s="4">
        <v>0.01</v>
      </c>
      <c r="H71" s="3" t="s">
        <v>132</v>
      </c>
      <c r="I71" s="3" t="s">
        <v>32</v>
      </c>
      <c r="K71" s="2"/>
    </row>
    <row r="72" spans="1:11" ht="15.5" x14ac:dyDescent="0.35">
      <c r="A7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Resistor_820_1_0603</v>
      </c>
      <c r="B72" s="8" t="str">
        <f>CONCATENATE("Резистор номиналом ",Таблица6[[#This Row],[Value]],"Ом и точностью ",Таблица6[[#This Row],[Tolerance]]*100," %")</f>
        <v>Резистор номиналом 820Ом и точностью 1 %</v>
      </c>
      <c r="C72" s="3" t="s">
        <v>26</v>
      </c>
      <c r="D72" s="3" t="s">
        <v>29</v>
      </c>
      <c r="E72" s="3" t="s">
        <v>26</v>
      </c>
      <c r="F72" s="5">
        <f t="shared" si="0"/>
        <v>820</v>
      </c>
      <c r="G72" s="4">
        <v>0.01</v>
      </c>
      <c r="H72" s="3" t="s">
        <v>132</v>
      </c>
      <c r="I72" s="3" t="s">
        <v>32</v>
      </c>
      <c r="K72" s="2"/>
    </row>
    <row r="73" spans="1:11" ht="15.5" x14ac:dyDescent="0.35">
      <c r="A7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Resistor_910_1_0603</v>
      </c>
      <c r="B73" s="8" t="str">
        <f>CONCATENATE("Резистор номиналом ",Таблица6[[#This Row],[Value]],"Ом и точностью ",Таблица6[[#This Row],[Tolerance]]*100," %")</f>
        <v>Резистор номиналом 910Ом и точностью 1 %</v>
      </c>
      <c r="C73" s="3" t="s">
        <v>26</v>
      </c>
      <c r="D73" s="3" t="s">
        <v>29</v>
      </c>
      <c r="E73" s="3" t="s">
        <v>26</v>
      </c>
      <c r="F73" s="5">
        <f t="shared" si="0"/>
        <v>910</v>
      </c>
      <c r="G73" s="4">
        <v>0.01</v>
      </c>
      <c r="H73" s="3" t="s">
        <v>132</v>
      </c>
      <c r="I73" s="3" t="s">
        <v>32</v>
      </c>
      <c r="K73" s="2"/>
    </row>
    <row r="74" spans="1:11" ht="15.5" x14ac:dyDescent="0.35">
      <c r="A7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Resistor_1.0k_1_0603</v>
      </c>
      <c r="B74" s="8" t="str">
        <f>CONCATENATE("Резистор номиналом ",Таблица6[[#This Row],[Value]],"Ом и точностью ",Таблица6[[#This Row],[Tolerance]]*100," %")</f>
        <v>Резистор номиналом 1,0 кОм и точностью 1 %</v>
      </c>
      <c r="C74" s="3" t="s">
        <v>26</v>
      </c>
      <c r="D74" s="3" t="s">
        <v>29</v>
      </c>
      <c r="E74" s="3" t="s">
        <v>26</v>
      </c>
      <c r="F74" s="9" t="str">
        <f t="shared" ref="F74:F105" si="1">CONCATENATE(F2," к")</f>
        <v>1,0 к</v>
      </c>
      <c r="G74" s="4">
        <v>0.01</v>
      </c>
      <c r="H74" s="3" t="s">
        <v>132</v>
      </c>
      <c r="I74" s="3" t="s">
        <v>32</v>
      </c>
      <c r="K74" s="2"/>
    </row>
    <row r="75" spans="1:11" ht="15.5" x14ac:dyDescent="0.35">
      <c r="A7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Resistor_1.1k_1_0603</v>
      </c>
      <c r="B75" s="8" t="str">
        <f>CONCATENATE("Резистор номиналом ",Таблица6[[#This Row],[Value]],"Ом и точностью ",Таблица6[[#This Row],[Tolerance]]*100," %")</f>
        <v>Резистор номиналом 1,1 кОм и точностью 1 %</v>
      </c>
      <c r="C75" s="3" t="s">
        <v>26</v>
      </c>
      <c r="D75" s="3" t="s">
        <v>29</v>
      </c>
      <c r="E75" s="3" t="s">
        <v>26</v>
      </c>
      <c r="F75" s="9" t="str">
        <f t="shared" si="1"/>
        <v>1,1 к</v>
      </c>
      <c r="G75" s="4">
        <v>0.01</v>
      </c>
      <c r="H75" s="3" t="s">
        <v>132</v>
      </c>
      <c r="I75" s="3" t="s">
        <v>32</v>
      </c>
      <c r="K75" s="2"/>
    </row>
    <row r="76" spans="1:11" ht="15.5" x14ac:dyDescent="0.35">
      <c r="A7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Resistor_1.2k_1_0603</v>
      </c>
      <c r="B76" s="8" t="str">
        <f>CONCATENATE("Резистор номиналом ",Таблица6[[#This Row],[Value]],"Ом и точностью ",Таблица6[[#This Row],[Tolerance]]*100," %")</f>
        <v>Резистор номиналом 1,2 кОм и точностью 1 %</v>
      </c>
      <c r="C76" s="3" t="s">
        <v>26</v>
      </c>
      <c r="D76" s="3" t="s">
        <v>29</v>
      </c>
      <c r="E76" s="3" t="s">
        <v>26</v>
      </c>
      <c r="F76" s="2" t="str">
        <f t="shared" si="1"/>
        <v>1,2 к</v>
      </c>
      <c r="G76" s="4">
        <v>0.01</v>
      </c>
      <c r="H76" s="3" t="s">
        <v>132</v>
      </c>
      <c r="I76" s="3" t="s">
        <v>32</v>
      </c>
      <c r="K76" s="2"/>
    </row>
    <row r="77" spans="1:11" ht="15.5" x14ac:dyDescent="0.35">
      <c r="A7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Resistor_1.3k_1_0603</v>
      </c>
      <c r="B77" s="8" t="str">
        <f>CONCATENATE("Резистор номиналом ",Таблица6[[#This Row],[Value]],"Ом и точностью ",Таблица6[[#This Row],[Tolerance]]*100," %")</f>
        <v>Резистор номиналом 1,3 кОм и точностью 1 %</v>
      </c>
      <c r="C77" s="3" t="s">
        <v>26</v>
      </c>
      <c r="D77" s="3" t="s">
        <v>29</v>
      </c>
      <c r="E77" s="3" t="s">
        <v>26</v>
      </c>
      <c r="F77" s="2" t="str">
        <f t="shared" si="1"/>
        <v>1,3 к</v>
      </c>
      <c r="G77" s="4">
        <v>0.01</v>
      </c>
      <c r="H77" s="3" t="s">
        <v>132</v>
      </c>
      <c r="I77" s="3" t="s">
        <v>32</v>
      </c>
      <c r="K77" s="2"/>
    </row>
    <row r="78" spans="1:11" ht="15.5" x14ac:dyDescent="0.35">
      <c r="A7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Resistor_1.5k_1_0603</v>
      </c>
      <c r="B78" s="8" t="str">
        <f>CONCATENATE("Резистор номиналом ",Таблица6[[#This Row],[Value]],"Ом и точностью ",Таблица6[[#This Row],[Tolerance]]*100," %")</f>
        <v>Резистор номиналом 1,5 кОм и точностью 1 %</v>
      </c>
      <c r="C78" s="3" t="s">
        <v>26</v>
      </c>
      <c r="D78" s="3" t="s">
        <v>29</v>
      </c>
      <c r="E78" s="3" t="s">
        <v>26</v>
      </c>
      <c r="F78" s="2" t="str">
        <f t="shared" si="1"/>
        <v>1,5 к</v>
      </c>
      <c r="G78" s="4">
        <v>0.01</v>
      </c>
      <c r="H78" s="3" t="s">
        <v>132</v>
      </c>
      <c r="I78" s="3" t="s">
        <v>32</v>
      </c>
      <c r="K78" s="2"/>
    </row>
    <row r="79" spans="1:11" ht="15.5" x14ac:dyDescent="0.35">
      <c r="A7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Resistor_1.6k_1_0603</v>
      </c>
      <c r="B79" s="8" t="str">
        <f>CONCATENATE("Резистор номиналом ",Таблица6[[#This Row],[Value]],"Ом и точностью ",Таблица6[[#This Row],[Tolerance]]*100," %")</f>
        <v>Резистор номиналом 1,6 кОм и точностью 1 %</v>
      </c>
      <c r="C79" s="3" t="s">
        <v>26</v>
      </c>
      <c r="D79" s="3" t="s">
        <v>29</v>
      </c>
      <c r="E79" s="3" t="s">
        <v>26</v>
      </c>
      <c r="F79" s="2" t="str">
        <f t="shared" si="1"/>
        <v>1,6 к</v>
      </c>
      <c r="G79" s="4">
        <v>0.01</v>
      </c>
      <c r="H79" s="3" t="s">
        <v>132</v>
      </c>
      <c r="I79" s="3" t="s">
        <v>32</v>
      </c>
      <c r="K79" s="2"/>
    </row>
    <row r="80" spans="1:11" ht="15.5" x14ac:dyDescent="0.35">
      <c r="A8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Resistor_1.8k_1_0603</v>
      </c>
      <c r="B80" s="8" t="str">
        <f>CONCATENATE("Резистор номиналом ",Таблица6[[#This Row],[Value]],"Ом и точностью ",Таблица6[[#This Row],[Tolerance]]*100," %")</f>
        <v>Резистор номиналом 1,8 кОм и точностью 1 %</v>
      </c>
      <c r="C80" s="3" t="s">
        <v>26</v>
      </c>
      <c r="D80" s="3" t="s">
        <v>29</v>
      </c>
      <c r="E80" s="3" t="s">
        <v>26</v>
      </c>
      <c r="F80" s="2" t="str">
        <f t="shared" si="1"/>
        <v>1,8 к</v>
      </c>
      <c r="G80" s="4">
        <v>0.01</v>
      </c>
      <c r="H80" s="3" t="s">
        <v>132</v>
      </c>
      <c r="I80" s="3" t="s">
        <v>32</v>
      </c>
      <c r="K80" s="2"/>
    </row>
    <row r="81" spans="1:11" ht="15.5" x14ac:dyDescent="0.35">
      <c r="A8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Resistor_2.0k_1_0603</v>
      </c>
      <c r="B81" s="8" t="str">
        <f>CONCATENATE("Резистор номиналом ",Таблица6[[#This Row],[Value]],"Ом и точностью ",Таблица6[[#This Row],[Tolerance]]*100," %")</f>
        <v>Резистор номиналом 2,0 кОм и точностью 1 %</v>
      </c>
      <c r="C81" s="3" t="s">
        <v>26</v>
      </c>
      <c r="D81" s="3" t="s">
        <v>29</v>
      </c>
      <c r="E81" s="3" t="s">
        <v>26</v>
      </c>
      <c r="F81" s="2" t="str">
        <f t="shared" si="1"/>
        <v>2,0 к</v>
      </c>
      <c r="G81" s="4">
        <v>0.01</v>
      </c>
      <c r="H81" s="3" t="s">
        <v>132</v>
      </c>
      <c r="I81" s="3" t="s">
        <v>32</v>
      </c>
      <c r="K81" s="2"/>
    </row>
    <row r="82" spans="1:11" ht="15.5" x14ac:dyDescent="0.35">
      <c r="A8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Resistor_2.2k_1_0603</v>
      </c>
      <c r="B82" s="8" t="str">
        <f>CONCATENATE("Резистор номиналом ",Таблица6[[#This Row],[Value]],"Ом и точностью ",Таблица6[[#This Row],[Tolerance]]*100," %")</f>
        <v>Резистор номиналом 2,2 кОм и точностью 1 %</v>
      </c>
      <c r="C82" s="3" t="s">
        <v>26</v>
      </c>
      <c r="D82" s="3" t="s">
        <v>29</v>
      </c>
      <c r="E82" s="3" t="s">
        <v>26</v>
      </c>
      <c r="F82" s="2" t="str">
        <f t="shared" si="1"/>
        <v>2,2 к</v>
      </c>
      <c r="G82" s="4">
        <v>0.01</v>
      </c>
      <c r="H82" s="3" t="s">
        <v>132</v>
      </c>
      <c r="I82" s="3" t="s">
        <v>32</v>
      </c>
      <c r="K82" s="2"/>
    </row>
    <row r="83" spans="1:11" ht="15.5" x14ac:dyDescent="0.35">
      <c r="A8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Resistor_2.4k_1_0603</v>
      </c>
      <c r="B83" s="8" t="str">
        <f>CONCATENATE("Резистор номиналом ",Таблица6[[#This Row],[Value]],"Ом и точностью ",Таблица6[[#This Row],[Tolerance]]*100," %")</f>
        <v>Резистор номиналом 2,4 кОм и точностью 1 %</v>
      </c>
      <c r="C83" s="3" t="s">
        <v>26</v>
      </c>
      <c r="D83" s="3" t="s">
        <v>29</v>
      </c>
      <c r="E83" s="3" t="s">
        <v>26</v>
      </c>
      <c r="F83" s="2" t="str">
        <f t="shared" si="1"/>
        <v>2,4 к</v>
      </c>
      <c r="G83" s="4">
        <v>0.01</v>
      </c>
      <c r="H83" s="3" t="s">
        <v>132</v>
      </c>
      <c r="I83" s="3" t="s">
        <v>32</v>
      </c>
      <c r="K83" s="2"/>
    </row>
    <row r="84" spans="1:11" ht="15.5" x14ac:dyDescent="0.35">
      <c r="A8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Resistor_2.7k_1_0603</v>
      </c>
      <c r="B84" s="8" t="str">
        <f>CONCATENATE("Резистор номиналом ",Таблица6[[#This Row],[Value]],"Ом и точностью ",Таблица6[[#This Row],[Tolerance]]*100," %")</f>
        <v>Резистор номиналом 2,7 кОм и точностью 1 %</v>
      </c>
      <c r="C84" s="3" t="s">
        <v>26</v>
      </c>
      <c r="D84" s="3" t="s">
        <v>29</v>
      </c>
      <c r="E84" s="3" t="s">
        <v>26</v>
      </c>
      <c r="F84" s="2" t="str">
        <f t="shared" si="1"/>
        <v>2,7 к</v>
      </c>
      <c r="G84" s="4">
        <v>0.01</v>
      </c>
      <c r="H84" s="3" t="s">
        <v>132</v>
      </c>
      <c r="I84" s="3" t="s">
        <v>32</v>
      </c>
      <c r="K84" s="2"/>
    </row>
    <row r="85" spans="1:11" ht="15.5" x14ac:dyDescent="0.35">
      <c r="A8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Resistor_3.0k_1_0603</v>
      </c>
      <c r="B85" s="8" t="str">
        <f>CONCATENATE("Резистор номиналом ",Таблица6[[#This Row],[Value]],"Ом и точностью ",Таблица6[[#This Row],[Tolerance]]*100," %")</f>
        <v>Резистор номиналом 3,0 кОм и точностью 1 %</v>
      </c>
      <c r="C85" s="3" t="s">
        <v>26</v>
      </c>
      <c r="D85" s="3" t="s">
        <v>29</v>
      </c>
      <c r="E85" s="3" t="s">
        <v>26</v>
      </c>
      <c r="F85" s="2" t="str">
        <f t="shared" si="1"/>
        <v>3,0 к</v>
      </c>
      <c r="G85" s="4">
        <v>0.01</v>
      </c>
      <c r="H85" s="3" t="s">
        <v>132</v>
      </c>
      <c r="I85" s="3" t="s">
        <v>32</v>
      </c>
      <c r="K85" s="2"/>
    </row>
    <row r="86" spans="1:11" ht="15.5" x14ac:dyDescent="0.35">
      <c r="A8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Resistor_3.3k_1_0603</v>
      </c>
      <c r="B86" s="8" t="str">
        <f>CONCATENATE("Резистор номиналом ",Таблица6[[#This Row],[Value]],"Ом и точностью ",Таблица6[[#This Row],[Tolerance]]*100," %")</f>
        <v>Резистор номиналом 3,3 кОм и точностью 1 %</v>
      </c>
      <c r="C86" s="3" t="s">
        <v>26</v>
      </c>
      <c r="D86" s="3" t="s">
        <v>29</v>
      </c>
      <c r="E86" s="3" t="s">
        <v>26</v>
      </c>
      <c r="F86" s="2" t="str">
        <f t="shared" si="1"/>
        <v>3,3 к</v>
      </c>
      <c r="G86" s="4">
        <v>0.01</v>
      </c>
      <c r="H86" s="3" t="s">
        <v>132</v>
      </c>
      <c r="I86" s="3" t="s">
        <v>32</v>
      </c>
      <c r="K86" s="2"/>
    </row>
    <row r="87" spans="1:11" ht="15.5" x14ac:dyDescent="0.35">
      <c r="A8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Resistor_3.6k_1_0603</v>
      </c>
      <c r="B87" s="8" t="str">
        <f>CONCATENATE("Резистор номиналом ",Таблица6[[#This Row],[Value]],"Ом и точностью ",Таблица6[[#This Row],[Tolerance]]*100," %")</f>
        <v>Резистор номиналом 3,6 кОм и точностью 1 %</v>
      </c>
      <c r="C87" s="3" t="s">
        <v>26</v>
      </c>
      <c r="D87" s="3" t="s">
        <v>29</v>
      </c>
      <c r="E87" s="3" t="s">
        <v>26</v>
      </c>
      <c r="F87" s="2" t="str">
        <f t="shared" si="1"/>
        <v>3,6 к</v>
      </c>
      <c r="G87" s="4">
        <v>0.01</v>
      </c>
      <c r="H87" s="3" t="s">
        <v>132</v>
      </c>
      <c r="I87" s="3" t="s">
        <v>32</v>
      </c>
      <c r="K87" s="2"/>
    </row>
    <row r="88" spans="1:11" ht="15.5" x14ac:dyDescent="0.35">
      <c r="A8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Resistor_3.9k_1_0603</v>
      </c>
      <c r="B88" s="8" t="str">
        <f>CONCATENATE("Резистор номиналом ",Таблица6[[#This Row],[Value]],"Ом и точностью ",Таблица6[[#This Row],[Tolerance]]*100," %")</f>
        <v>Резистор номиналом 3,9 кОм и точностью 1 %</v>
      </c>
      <c r="C88" s="3" t="s">
        <v>26</v>
      </c>
      <c r="D88" s="3" t="s">
        <v>29</v>
      </c>
      <c r="E88" s="3" t="s">
        <v>26</v>
      </c>
      <c r="F88" s="2" t="str">
        <f t="shared" si="1"/>
        <v>3,9 к</v>
      </c>
      <c r="G88" s="4">
        <v>0.01</v>
      </c>
      <c r="H88" s="3" t="s">
        <v>132</v>
      </c>
      <c r="I88" s="3" t="s">
        <v>32</v>
      </c>
      <c r="K88" s="2"/>
    </row>
    <row r="89" spans="1:11" ht="15.5" x14ac:dyDescent="0.35">
      <c r="A8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Resistor_4.3k_1_0603</v>
      </c>
      <c r="B89" s="8" t="str">
        <f>CONCATENATE("Резистор номиналом ",Таблица6[[#This Row],[Value]],"Ом и точностью ",Таблица6[[#This Row],[Tolerance]]*100," %")</f>
        <v>Резистор номиналом 4,3 кОм и точностью 1 %</v>
      </c>
      <c r="C89" s="3" t="s">
        <v>26</v>
      </c>
      <c r="D89" s="3" t="s">
        <v>29</v>
      </c>
      <c r="E89" s="3" t="s">
        <v>26</v>
      </c>
      <c r="F89" s="2" t="str">
        <f t="shared" si="1"/>
        <v>4,3 к</v>
      </c>
      <c r="G89" s="4">
        <v>0.01</v>
      </c>
      <c r="H89" s="3" t="s">
        <v>132</v>
      </c>
      <c r="I89" s="3" t="s">
        <v>32</v>
      </c>
      <c r="K89" s="2"/>
    </row>
    <row r="90" spans="1:11" ht="15.5" x14ac:dyDescent="0.35">
      <c r="A9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Resistor_4.7k_1_0603</v>
      </c>
      <c r="B90" s="8" t="str">
        <f>CONCATENATE("Резистор номиналом ",Таблица6[[#This Row],[Value]],"Ом и точностью ",Таблица6[[#This Row],[Tolerance]]*100," %")</f>
        <v>Резистор номиналом 4,7 кОм и точностью 1 %</v>
      </c>
      <c r="C90" s="3" t="s">
        <v>26</v>
      </c>
      <c r="D90" s="3" t="s">
        <v>29</v>
      </c>
      <c r="E90" s="3" t="s">
        <v>26</v>
      </c>
      <c r="F90" s="2" t="str">
        <f t="shared" si="1"/>
        <v>4,7 к</v>
      </c>
      <c r="G90" s="4">
        <v>0.01</v>
      </c>
      <c r="H90" s="3" t="s">
        <v>132</v>
      </c>
      <c r="I90" s="3" t="s">
        <v>32</v>
      </c>
      <c r="K90" s="2"/>
    </row>
    <row r="91" spans="1:11" ht="15.5" x14ac:dyDescent="0.35">
      <c r="A9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Resistor_5.1k_1_0603</v>
      </c>
      <c r="B91" s="8" t="str">
        <f>CONCATENATE("Резистор номиналом ",Таблица6[[#This Row],[Value]],"Ом и точностью ",Таблица6[[#This Row],[Tolerance]]*100," %")</f>
        <v>Резистор номиналом 5,1 кОм и точностью 1 %</v>
      </c>
      <c r="C91" s="3" t="s">
        <v>26</v>
      </c>
      <c r="D91" s="3" t="s">
        <v>29</v>
      </c>
      <c r="E91" s="3" t="s">
        <v>26</v>
      </c>
      <c r="F91" s="2" t="str">
        <f t="shared" si="1"/>
        <v>5,1 к</v>
      </c>
      <c r="G91" s="4">
        <v>0.01</v>
      </c>
      <c r="H91" s="3" t="s">
        <v>132</v>
      </c>
      <c r="I91" s="3" t="s">
        <v>32</v>
      </c>
      <c r="K91" s="2"/>
    </row>
    <row r="92" spans="1:11" ht="15.5" x14ac:dyDescent="0.35">
      <c r="A9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Resistor_5.6k_1_0603</v>
      </c>
      <c r="B92" s="8" t="str">
        <f>CONCATENATE("Резистор номиналом ",Таблица6[[#This Row],[Value]],"Ом и точностью ",Таблица6[[#This Row],[Tolerance]]*100," %")</f>
        <v>Резистор номиналом 5,6 кОм и точностью 1 %</v>
      </c>
      <c r="C92" s="3" t="s">
        <v>26</v>
      </c>
      <c r="D92" s="3" t="s">
        <v>29</v>
      </c>
      <c r="E92" s="3" t="s">
        <v>26</v>
      </c>
      <c r="F92" s="2" t="str">
        <f t="shared" si="1"/>
        <v>5,6 к</v>
      </c>
      <c r="G92" s="4">
        <v>0.01</v>
      </c>
      <c r="H92" s="3" t="s">
        <v>132</v>
      </c>
      <c r="I92" s="3" t="s">
        <v>32</v>
      </c>
      <c r="K92" s="2"/>
    </row>
    <row r="93" spans="1:11" ht="15.5" x14ac:dyDescent="0.35">
      <c r="A9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Resistor_6.2k_1_0603</v>
      </c>
      <c r="B93" s="8" t="str">
        <f>CONCATENATE("Резистор номиналом ",Таблица6[[#This Row],[Value]],"Ом и точностью ",Таблица6[[#This Row],[Tolerance]]*100," %")</f>
        <v>Резистор номиналом 6,2 кОм и точностью 1 %</v>
      </c>
      <c r="C93" s="3" t="s">
        <v>26</v>
      </c>
      <c r="D93" s="3" t="s">
        <v>29</v>
      </c>
      <c r="E93" s="3" t="s">
        <v>26</v>
      </c>
      <c r="F93" s="2" t="str">
        <f t="shared" si="1"/>
        <v>6,2 к</v>
      </c>
      <c r="G93" s="4">
        <v>0.01</v>
      </c>
      <c r="H93" s="3" t="s">
        <v>132</v>
      </c>
      <c r="I93" s="3" t="s">
        <v>32</v>
      </c>
      <c r="K93" s="2"/>
    </row>
    <row r="94" spans="1:11" ht="15.5" x14ac:dyDescent="0.35">
      <c r="A9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Resistor_6.8k_1_0603</v>
      </c>
      <c r="B94" s="8" t="str">
        <f>CONCATENATE("Резистор номиналом ",Таблица6[[#This Row],[Value]],"Ом и точностью ",Таблица6[[#This Row],[Tolerance]]*100," %")</f>
        <v>Резистор номиналом 6,8 кОм и точностью 1 %</v>
      </c>
      <c r="C94" s="3" t="s">
        <v>26</v>
      </c>
      <c r="D94" s="3" t="s">
        <v>29</v>
      </c>
      <c r="E94" s="3" t="s">
        <v>26</v>
      </c>
      <c r="F94" s="2" t="str">
        <f t="shared" si="1"/>
        <v>6,8 к</v>
      </c>
      <c r="G94" s="4">
        <v>0.01</v>
      </c>
      <c r="H94" s="3" t="s">
        <v>132</v>
      </c>
      <c r="I94" s="3" t="s">
        <v>32</v>
      </c>
      <c r="K94" s="2"/>
    </row>
    <row r="95" spans="1:11" ht="15.5" x14ac:dyDescent="0.35">
      <c r="A9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Resistor_7.5k_1_0603</v>
      </c>
      <c r="B95" s="8" t="str">
        <f>CONCATENATE("Резистор номиналом ",Таблица6[[#This Row],[Value]],"Ом и точностью ",Таблица6[[#This Row],[Tolerance]]*100," %")</f>
        <v>Резистор номиналом 7,5 кОм и точностью 1 %</v>
      </c>
      <c r="C95" s="3" t="s">
        <v>26</v>
      </c>
      <c r="D95" s="3" t="s">
        <v>29</v>
      </c>
      <c r="E95" s="3" t="s">
        <v>26</v>
      </c>
      <c r="F95" s="2" t="str">
        <f t="shared" si="1"/>
        <v>7,5 к</v>
      </c>
      <c r="G95" s="4">
        <v>0.01</v>
      </c>
      <c r="H95" s="3" t="s">
        <v>132</v>
      </c>
      <c r="I95" s="3" t="s">
        <v>32</v>
      </c>
      <c r="K95" s="2"/>
    </row>
    <row r="96" spans="1:11" ht="15.5" x14ac:dyDescent="0.35">
      <c r="A9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Resistor_8.2k_1_0603</v>
      </c>
      <c r="B96" s="8" t="str">
        <f>CONCATENATE("Резистор номиналом ",Таблица6[[#This Row],[Value]],"Ом и точностью ",Таблица6[[#This Row],[Tolerance]]*100," %")</f>
        <v>Резистор номиналом 8,2 кОм и точностью 1 %</v>
      </c>
      <c r="C96" s="3" t="s">
        <v>26</v>
      </c>
      <c r="D96" s="3" t="s">
        <v>29</v>
      </c>
      <c r="E96" s="3" t="s">
        <v>26</v>
      </c>
      <c r="F96" s="2" t="str">
        <f t="shared" si="1"/>
        <v>8,2 к</v>
      </c>
      <c r="G96" s="4">
        <v>0.01</v>
      </c>
      <c r="H96" s="3" t="s">
        <v>132</v>
      </c>
      <c r="I96" s="3" t="s">
        <v>32</v>
      </c>
      <c r="K96" s="2"/>
    </row>
    <row r="97" spans="1:11" ht="15.5" x14ac:dyDescent="0.35">
      <c r="A9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Resistor_9.1k_1_0603</v>
      </c>
      <c r="B97" s="8" t="str">
        <f>CONCATENATE("Резистор номиналом ",Таблица6[[#This Row],[Value]],"Ом и точностью ",Таблица6[[#This Row],[Tolerance]]*100," %")</f>
        <v>Резистор номиналом 9,1 кОм и точностью 1 %</v>
      </c>
      <c r="C97" s="3" t="s">
        <v>26</v>
      </c>
      <c r="D97" s="3" t="s">
        <v>29</v>
      </c>
      <c r="E97" s="3" t="s">
        <v>26</v>
      </c>
      <c r="F97" s="2" t="str">
        <f t="shared" si="1"/>
        <v>9,1 к</v>
      </c>
      <c r="G97" s="4">
        <v>0.01</v>
      </c>
      <c r="H97" s="3" t="s">
        <v>132</v>
      </c>
      <c r="I97" s="3" t="s">
        <v>32</v>
      </c>
      <c r="K97" s="2"/>
    </row>
    <row r="98" spans="1:11" ht="15.5" x14ac:dyDescent="0.35">
      <c r="A9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Resistor_10k_1_0603</v>
      </c>
      <c r="B98" s="8" t="str">
        <f>CONCATENATE("Резистор номиналом ",Таблица6[[#This Row],[Value]],"Ом и точностью ",Таблица6[[#This Row],[Tolerance]]*100," %")</f>
        <v>Резистор номиналом 10 кОм и точностью 1 %</v>
      </c>
      <c r="C98" s="3" t="s">
        <v>26</v>
      </c>
      <c r="D98" s="3" t="s">
        <v>29</v>
      </c>
      <c r="E98" s="3" t="s">
        <v>26</v>
      </c>
      <c r="F98" s="2" t="str">
        <f t="shared" si="1"/>
        <v>10 к</v>
      </c>
      <c r="G98" s="4">
        <v>0.01</v>
      </c>
      <c r="H98" s="3" t="s">
        <v>132</v>
      </c>
      <c r="I98" s="3" t="s">
        <v>32</v>
      </c>
      <c r="K98" s="7"/>
    </row>
    <row r="99" spans="1:11" ht="15.5" x14ac:dyDescent="0.35">
      <c r="A9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Resistor_11k_1_0603</v>
      </c>
      <c r="B99" s="8" t="str">
        <f>CONCATENATE("Резистор номиналом ",Таблица6[[#This Row],[Value]],"Ом и точностью ",Таблица6[[#This Row],[Tolerance]]*100," %")</f>
        <v>Резистор номиналом 11 кОм и точностью 1 %</v>
      </c>
      <c r="C99" s="3" t="s">
        <v>26</v>
      </c>
      <c r="D99" s="3" t="s">
        <v>29</v>
      </c>
      <c r="E99" s="3" t="s">
        <v>26</v>
      </c>
      <c r="F99" s="2" t="str">
        <f t="shared" si="1"/>
        <v>11 к</v>
      </c>
      <c r="G99" s="4">
        <v>0.01</v>
      </c>
      <c r="H99" s="3" t="s">
        <v>132</v>
      </c>
      <c r="I99" s="3" t="s">
        <v>32</v>
      </c>
      <c r="K99" s="7"/>
    </row>
    <row r="100" spans="1:11" ht="15.5" x14ac:dyDescent="0.35">
      <c r="A10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Resistor_12k_1_0603</v>
      </c>
      <c r="B100" s="8" t="str">
        <f>CONCATENATE("Резистор номиналом ",Таблица6[[#This Row],[Value]],"Ом и точностью ",Таблица6[[#This Row],[Tolerance]]*100," %")</f>
        <v>Резистор номиналом 12 кОм и точностью 1 %</v>
      </c>
      <c r="C100" s="3" t="s">
        <v>26</v>
      </c>
      <c r="D100" s="3" t="s">
        <v>29</v>
      </c>
      <c r="E100" s="3" t="s">
        <v>26</v>
      </c>
      <c r="F100" s="2" t="str">
        <f t="shared" si="1"/>
        <v>12 к</v>
      </c>
      <c r="G100" s="4">
        <v>0.01</v>
      </c>
      <c r="H100" s="3" t="s">
        <v>132</v>
      </c>
      <c r="I100" s="3" t="s">
        <v>32</v>
      </c>
      <c r="K100" s="7"/>
    </row>
    <row r="101" spans="1:11" ht="15.5" x14ac:dyDescent="0.35">
      <c r="A10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Resistor_13k_1_0603</v>
      </c>
      <c r="B101" s="8" t="str">
        <f>CONCATENATE("Резистор номиналом ",Таблица6[[#This Row],[Value]],"Ом и точностью ",Таблица6[[#This Row],[Tolerance]]*100," %")</f>
        <v>Резистор номиналом 13 кОм и точностью 1 %</v>
      </c>
      <c r="C101" s="3" t="s">
        <v>26</v>
      </c>
      <c r="D101" s="3" t="s">
        <v>29</v>
      </c>
      <c r="E101" s="3" t="s">
        <v>26</v>
      </c>
      <c r="F101" s="2" t="str">
        <f t="shared" si="1"/>
        <v>13 к</v>
      </c>
      <c r="G101" s="4">
        <v>0.01</v>
      </c>
      <c r="H101" s="3" t="s">
        <v>132</v>
      </c>
      <c r="I101" s="3" t="s">
        <v>32</v>
      </c>
      <c r="K101" s="7"/>
    </row>
    <row r="102" spans="1:11" ht="15.5" x14ac:dyDescent="0.35">
      <c r="A10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Resistor_15k_1_0603</v>
      </c>
      <c r="B102" s="8" t="str">
        <f>CONCATENATE("Резистор номиналом ",Таблица6[[#This Row],[Value]],"Ом и точностью ",Таблица6[[#This Row],[Tolerance]]*100," %")</f>
        <v>Резистор номиналом 15 кОм и точностью 1 %</v>
      </c>
      <c r="C102" s="3" t="s">
        <v>26</v>
      </c>
      <c r="D102" s="3" t="s">
        <v>29</v>
      </c>
      <c r="E102" s="3" t="s">
        <v>26</v>
      </c>
      <c r="F102" s="2" t="str">
        <f t="shared" si="1"/>
        <v>15 к</v>
      </c>
      <c r="G102" s="4">
        <v>0.01</v>
      </c>
      <c r="H102" s="3" t="s">
        <v>132</v>
      </c>
      <c r="I102" s="3" t="s">
        <v>32</v>
      </c>
      <c r="K102" s="7"/>
    </row>
    <row r="103" spans="1:11" ht="15.5" x14ac:dyDescent="0.35">
      <c r="A10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Resistor_16k_1_0603</v>
      </c>
      <c r="B103" s="8" t="str">
        <f>CONCATENATE("Резистор номиналом ",Таблица6[[#This Row],[Value]],"Ом и точностью ",Таблица6[[#This Row],[Tolerance]]*100," %")</f>
        <v>Резистор номиналом 16 кОм и точностью 1 %</v>
      </c>
      <c r="C103" s="3" t="s">
        <v>26</v>
      </c>
      <c r="D103" s="3" t="s">
        <v>29</v>
      </c>
      <c r="E103" s="3" t="s">
        <v>26</v>
      </c>
      <c r="F103" s="2" t="str">
        <f t="shared" si="1"/>
        <v>16 к</v>
      </c>
      <c r="G103" s="4">
        <v>0.01</v>
      </c>
      <c r="H103" s="3" t="s">
        <v>132</v>
      </c>
      <c r="I103" s="3" t="s">
        <v>32</v>
      </c>
      <c r="K103" s="7"/>
    </row>
    <row r="104" spans="1:11" ht="15.5" x14ac:dyDescent="0.35">
      <c r="A10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Resistor_18k_1_0603</v>
      </c>
      <c r="B104" s="8" t="str">
        <f>CONCATENATE("Резистор номиналом ",Таблица6[[#This Row],[Value]],"Ом и точностью ",Таблица6[[#This Row],[Tolerance]]*100," %")</f>
        <v>Резистор номиналом 18 кОм и точностью 1 %</v>
      </c>
      <c r="C104" s="3" t="s">
        <v>26</v>
      </c>
      <c r="D104" s="3" t="s">
        <v>29</v>
      </c>
      <c r="E104" s="3" t="s">
        <v>26</v>
      </c>
      <c r="F104" s="2" t="str">
        <f t="shared" si="1"/>
        <v>18 к</v>
      </c>
      <c r="G104" s="4">
        <v>0.01</v>
      </c>
      <c r="H104" s="3" t="s">
        <v>132</v>
      </c>
      <c r="I104" s="3" t="s">
        <v>32</v>
      </c>
      <c r="K104" s="7"/>
    </row>
    <row r="105" spans="1:11" ht="15.5" x14ac:dyDescent="0.35">
      <c r="A10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Resistor_20k_1_0603</v>
      </c>
      <c r="B105" s="8" t="str">
        <f>CONCATENATE("Резистор номиналом ",Таблица6[[#This Row],[Value]],"Ом и точностью ",Таблица6[[#This Row],[Tolerance]]*100," %")</f>
        <v>Резистор номиналом 20 кОм и точностью 1 %</v>
      </c>
      <c r="C105" s="3" t="s">
        <v>26</v>
      </c>
      <c r="D105" s="3" t="s">
        <v>29</v>
      </c>
      <c r="E105" s="3" t="s">
        <v>26</v>
      </c>
      <c r="F105" s="2" t="str">
        <f t="shared" si="1"/>
        <v>20 к</v>
      </c>
      <c r="G105" s="4">
        <v>0.01</v>
      </c>
      <c r="H105" s="3" t="s">
        <v>132</v>
      </c>
      <c r="I105" s="3" t="s">
        <v>32</v>
      </c>
      <c r="K105" s="7"/>
    </row>
    <row r="106" spans="1:11" ht="15.5" x14ac:dyDescent="0.35">
      <c r="A10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Resistor_22k_1_0603</v>
      </c>
      <c r="B106" s="8" t="str">
        <f>CONCATENATE("Резистор номиналом ",Таблица6[[#This Row],[Value]],"Ом и точностью ",Таблица6[[#This Row],[Tolerance]]*100," %")</f>
        <v>Резистор номиналом 22 кОм и точностью 1 %</v>
      </c>
      <c r="C106" s="3" t="s">
        <v>26</v>
      </c>
      <c r="D106" s="3" t="s">
        <v>29</v>
      </c>
      <c r="E106" s="3" t="s">
        <v>26</v>
      </c>
      <c r="F106" s="2" t="str">
        <f t="shared" ref="F106:F137" si="2">CONCATENATE(F34," к")</f>
        <v>22 к</v>
      </c>
      <c r="G106" s="4">
        <v>0.01</v>
      </c>
      <c r="H106" s="3" t="s">
        <v>132</v>
      </c>
      <c r="I106" s="3" t="s">
        <v>32</v>
      </c>
      <c r="K106" s="7"/>
    </row>
    <row r="107" spans="1:11" ht="15.5" x14ac:dyDescent="0.35">
      <c r="A10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Resistor_24k_1_0603</v>
      </c>
      <c r="B107" s="8" t="str">
        <f>CONCATENATE("Резистор номиналом ",Таблица6[[#This Row],[Value]],"Ом и точностью ",Таблица6[[#This Row],[Tolerance]]*100," %")</f>
        <v>Резистор номиналом 24 кОм и точностью 1 %</v>
      </c>
      <c r="C107" s="3" t="s">
        <v>26</v>
      </c>
      <c r="D107" s="3" t="s">
        <v>29</v>
      </c>
      <c r="E107" s="3" t="s">
        <v>26</v>
      </c>
      <c r="F107" s="2" t="str">
        <f t="shared" si="2"/>
        <v>24 к</v>
      </c>
      <c r="G107" s="4">
        <v>0.01</v>
      </c>
      <c r="H107" s="3" t="s">
        <v>132</v>
      </c>
      <c r="I107" s="3" t="s">
        <v>32</v>
      </c>
      <c r="K107" s="7"/>
    </row>
    <row r="108" spans="1:11" ht="15.5" x14ac:dyDescent="0.35">
      <c r="A10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Resistor_27k_1_0603</v>
      </c>
      <c r="B108" s="8" t="str">
        <f>CONCATENATE("Резистор номиналом ",Таблица6[[#This Row],[Value]],"Ом и точностью ",Таблица6[[#This Row],[Tolerance]]*100," %")</f>
        <v>Резистор номиналом 27 кОм и точностью 1 %</v>
      </c>
      <c r="C108" s="3" t="s">
        <v>26</v>
      </c>
      <c r="D108" s="3" t="s">
        <v>29</v>
      </c>
      <c r="E108" s="3" t="s">
        <v>26</v>
      </c>
      <c r="F108" s="2" t="str">
        <f t="shared" si="2"/>
        <v>27 к</v>
      </c>
      <c r="G108" s="4">
        <v>0.01</v>
      </c>
      <c r="H108" s="3" t="s">
        <v>132</v>
      </c>
      <c r="I108" s="3" t="s">
        <v>32</v>
      </c>
      <c r="K108" s="7"/>
    </row>
    <row r="109" spans="1:11" ht="15.5" x14ac:dyDescent="0.35">
      <c r="A10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Resistor_30k_1_0603</v>
      </c>
      <c r="B109" s="8" t="str">
        <f>CONCATENATE("Резистор номиналом ",Таблица6[[#This Row],[Value]],"Ом и точностью ",Таблица6[[#This Row],[Tolerance]]*100," %")</f>
        <v>Резистор номиналом 30 кОм и точностью 1 %</v>
      </c>
      <c r="C109" s="3" t="s">
        <v>26</v>
      </c>
      <c r="D109" s="3" t="s">
        <v>29</v>
      </c>
      <c r="E109" s="3" t="s">
        <v>26</v>
      </c>
      <c r="F109" s="2" t="str">
        <f t="shared" si="2"/>
        <v>30 к</v>
      </c>
      <c r="G109" s="4">
        <v>0.01</v>
      </c>
      <c r="H109" s="3" t="s">
        <v>132</v>
      </c>
      <c r="I109" s="3" t="s">
        <v>32</v>
      </c>
      <c r="K109" s="7"/>
    </row>
    <row r="110" spans="1:11" ht="15.5" x14ac:dyDescent="0.35">
      <c r="A1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Resistor_33k_1_0603</v>
      </c>
      <c r="B110" s="8" t="str">
        <f>CONCATENATE("Резистор номиналом ",Таблица6[[#This Row],[Value]],"Ом и точностью ",Таблица6[[#This Row],[Tolerance]]*100," %")</f>
        <v>Резистор номиналом 33 кОм и точностью 1 %</v>
      </c>
      <c r="C110" s="3" t="s">
        <v>26</v>
      </c>
      <c r="D110" s="3" t="s">
        <v>29</v>
      </c>
      <c r="E110" s="3" t="s">
        <v>26</v>
      </c>
      <c r="F110" s="2" t="str">
        <f t="shared" si="2"/>
        <v>33 к</v>
      </c>
      <c r="G110" s="4">
        <v>0.01</v>
      </c>
      <c r="H110" s="3" t="s">
        <v>132</v>
      </c>
      <c r="I110" s="3" t="s">
        <v>32</v>
      </c>
      <c r="K110" s="7"/>
    </row>
    <row r="111" spans="1:11" ht="15.5" x14ac:dyDescent="0.35">
      <c r="A1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Resistor_36k_1_0603</v>
      </c>
      <c r="B111" s="8" t="str">
        <f>CONCATENATE("Резистор номиналом ",Таблица6[[#This Row],[Value]],"Ом и точностью ",Таблица6[[#This Row],[Tolerance]]*100," %")</f>
        <v>Резистор номиналом 36 кОм и точностью 1 %</v>
      </c>
      <c r="C111" s="3" t="s">
        <v>26</v>
      </c>
      <c r="D111" s="3" t="s">
        <v>29</v>
      </c>
      <c r="E111" s="3" t="s">
        <v>26</v>
      </c>
      <c r="F111" s="2" t="str">
        <f t="shared" si="2"/>
        <v>36 к</v>
      </c>
      <c r="G111" s="4">
        <v>0.01</v>
      </c>
      <c r="H111" s="3" t="s">
        <v>132</v>
      </c>
      <c r="I111" s="3" t="s">
        <v>32</v>
      </c>
      <c r="K111" s="7"/>
    </row>
    <row r="112" spans="1:11" ht="15.5" x14ac:dyDescent="0.35">
      <c r="A1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Resistor_39k_1_0603</v>
      </c>
      <c r="B112" s="8" t="str">
        <f>CONCATENATE("Резистор номиналом ",Таблица6[[#This Row],[Value]],"Ом и точностью ",Таблица6[[#This Row],[Tolerance]]*100," %")</f>
        <v>Резистор номиналом 39 кОм и точностью 1 %</v>
      </c>
      <c r="C112" s="3" t="s">
        <v>26</v>
      </c>
      <c r="D112" s="3" t="s">
        <v>29</v>
      </c>
      <c r="E112" s="3" t="s">
        <v>26</v>
      </c>
      <c r="F112" s="2" t="str">
        <f t="shared" si="2"/>
        <v>39 к</v>
      </c>
      <c r="G112" s="4">
        <v>0.01</v>
      </c>
      <c r="H112" s="3" t="s">
        <v>132</v>
      </c>
      <c r="I112" s="3" t="s">
        <v>32</v>
      </c>
      <c r="K112" s="7"/>
    </row>
    <row r="113" spans="1:11" ht="15.5" x14ac:dyDescent="0.35">
      <c r="A1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Resistor_43k_1_0603</v>
      </c>
      <c r="B113" s="8" t="str">
        <f>CONCATENATE("Резистор номиналом ",Таблица6[[#This Row],[Value]],"Ом и точностью ",Таблица6[[#This Row],[Tolerance]]*100," %")</f>
        <v>Резистор номиналом 43 кОм и точностью 1 %</v>
      </c>
      <c r="C113" s="3" t="s">
        <v>26</v>
      </c>
      <c r="D113" s="3" t="s">
        <v>29</v>
      </c>
      <c r="E113" s="3" t="s">
        <v>26</v>
      </c>
      <c r="F113" s="2" t="str">
        <f t="shared" si="2"/>
        <v>43 к</v>
      </c>
      <c r="G113" s="4">
        <v>0.01</v>
      </c>
      <c r="H113" s="3" t="s">
        <v>132</v>
      </c>
      <c r="I113" s="3" t="s">
        <v>32</v>
      </c>
      <c r="K113" s="7"/>
    </row>
    <row r="114" spans="1:11" ht="15.5" x14ac:dyDescent="0.35">
      <c r="A1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Resistor_47k_1_0603</v>
      </c>
      <c r="B114" s="8" t="str">
        <f>CONCATENATE("Резистор номиналом ",Таблица6[[#This Row],[Value]],"Ом и точностью ",Таблица6[[#This Row],[Tolerance]]*100," %")</f>
        <v>Резистор номиналом 47 кОм и точностью 1 %</v>
      </c>
      <c r="C114" s="3" t="s">
        <v>26</v>
      </c>
      <c r="D114" s="3" t="s">
        <v>29</v>
      </c>
      <c r="E114" s="3" t="s">
        <v>26</v>
      </c>
      <c r="F114" s="2" t="str">
        <f t="shared" si="2"/>
        <v>47 к</v>
      </c>
      <c r="G114" s="4">
        <v>0.01</v>
      </c>
      <c r="H114" s="3" t="s">
        <v>132</v>
      </c>
      <c r="I114" s="3" t="s">
        <v>32</v>
      </c>
      <c r="K114" s="7"/>
    </row>
    <row r="115" spans="1:11" ht="15.5" x14ac:dyDescent="0.35">
      <c r="A1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Resistor_51k_1_0603</v>
      </c>
      <c r="B115" s="8" t="str">
        <f>CONCATENATE("Резистор номиналом ",Таблица6[[#This Row],[Value]],"Ом и точностью ",Таблица6[[#This Row],[Tolerance]]*100," %")</f>
        <v>Резистор номиналом 51 кОм и точностью 1 %</v>
      </c>
      <c r="C115" s="3" t="s">
        <v>26</v>
      </c>
      <c r="D115" s="3" t="s">
        <v>29</v>
      </c>
      <c r="E115" s="3" t="s">
        <v>26</v>
      </c>
      <c r="F115" s="2" t="str">
        <f t="shared" si="2"/>
        <v>51 к</v>
      </c>
      <c r="G115" s="4">
        <v>0.01</v>
      </c>
      <c r="H115" s="3" t="s">
        <v>132</v>
      </c>
      <c r="I115" s="3" t="s">
        <v>32</v>
      </c>
      <c r="K115" s="7"/>
    </row>
    <row r="116" spans="1:11" ht="15.5" x14ac:dyDescent="0.35">
      <c r="A1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Resistor_56k_1_0603</v>
      </c>
      <c r="B116" s="8" t="str">
        <f>CONCATENATE("Резистор номиналом ",Таблица6[[#This Row],[Value]],"Ом и точностью ",Таблица6[[#This Row],[Tolerance]]*100," %")</f>
        <v>Резистор номиналом 56 кОм и точностью 1 %</v>
      </c>
      <c r="C116" s="3" t="s">
        <v>26</v>
      </c>
      <c r="D116" s="3" t="s">
        <v>29</v>
      </c>
      <c r="E116" s="3" t="s">
        <v>26</v>
      </c>
      <c r="F116" s="2" t="str">
        <f t="shared" si="2"/>
        <v>56 к</v>
      </c>
      <c r="G116" s="4">
        <v>0.01</v>
      </c>
      <c r="H116" s="3" t="s">
        <v>132</v>
      </c>
      <c r="I116" s="3" t="s">
        <v>32</v>
      </c>
      <c r="K116" s="7"/>
    </row>
    <row r="117" spans="1:11" ht="15.5" x14ac:dyDescent="0.35">
      <c r="A1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Resistor_62k_1_0603</v>
      </c>
      <c r="B117" s="8" t="str">
        <f>CONCATENATE("Резистор номиналом ",Таблица6[[#This Row],[Value]],"Ом и точностью ",Таблица6[[#This Row],[Tolerance]]*100," %")</f>
        <v>Резистор номиналом 62 кОм и точностью 1 %</v>
      </c>
      <c r="C117" s="3" t="s">
        <v>26</v>
      </c>
      <c r="D117" s="3" t="s">
        <v>29</v>
      </c>
      <c r="E117" s="3" t="s">
        <v>26</v>
      </c>
      <c r="F117" s="2" t="str">
        <f t="shared" si="2"/>
        <v>62 к</v>
      </c>
      <c r="G117" s="4">
        <v>0.01</v>
      </c>
      <c r="H117" s="3" t="s">
        <v>132</v>
      </c>
      <c r="I117" s="3" t="s">
        <v>32</v>
      </c>
      <c r="K117" s="7"/>
    </row>
    <row r="118" spans="1:11" ht="15.5" x14ac:dyDescent="0.35">
      <c r="A1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Resistor_68k_1_0603</v>
      </c>
      <c r="B118" s="8" t="str">
        <f>CONCATENATE("Резистор номиналом ",Таблица6[[#This Row],[Value]],"Ом и точностью ",Таблица6[[#This Row],[Tolerance]]*100," %")</f>
        <v>Резистор номиналом 68 кОм и точностью 1 %</v>
      </c>
      <c r="C118" s="3" t="s">
        <v>26</v>
      </c>
      <c r="D118" s="3" t="s">
        <v>29</v>
      </c>
      <c r="E118" s="3" t="s">
        <v>26</v>
      </c>
      <c r="F118" s="2" t="str">
        <f t="shared" si="2"/>
        <v>68 к</v>
      </c>
      <c r="G118" s="4">
        <v>0.01</v>
      </c>
      <c r="H118" s="3" t="s">
        <v>132</v>
      </c>
      <c r="I118" s="3" t="s">
        <v>32</v>
      </c>
      <c r="K118" s="7"/>
    </row>
    <row r="119" spans="1:11" ht="15.5" x14ac:dyDescent="0.35">
      <c r="A1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Resistor_75k_1_0603</v>
      </c>
      <c r="B119" s="8" t="str">
        <f>CONCATENATE("Резистор номиналом ",Таблица6[[#This Row],[Value]],"Ом и точностью ",Таблица6[[#This Row],[Tolerance]]*100," %")</f>
        <v>Резистор номиналом 75 кОм и точностью 1 %</v>
      </c>
      <c r="C119" s="3" t="s">
        <v>26</v>
      </c>
      <c r="D119" s="3" t="s">
        <v>29</v>
      </c>
      <c r="E119" s="3" t="s">
        <v>26</v>
      </c>
      <c r="F119" s="2" t="str">
        <f t="shared" si="2"/>
        <v>75 к</v>
      </c>
      <c r="G119" s="4">
        <v>0.01</v>
      </c>
      <c r="H119" s="3" t="s">
        <v>132</v>
      </c>
      <c r="I119" s="3" t="s">
        <v>32</v>
      </c>
      <c r="K119" s="7"/>
    </row>
    <row r="120" spans="1:11" ht="15.5" x14ac:dyDescent="0.35">
      <c r="A1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Resistor_82k_1_0603</v>
      </c>
      <c r="B120" s="8" t="str">
        <f>CONCATENATE("Резистор номиналом ",Таблица6[[#This Row],[Value]],"Ом и точностью ",Таблица6[[#This Row],[Tolerance]]*100," %")</f>
        <v>Резистор номиналом 82 кОм и точностью 1 %</v>
      </c>
      <c r="C120" s="3" t="s">
        <v>26</v>
      </c>
      <c r="D120" s="3" t="s">
        <v>29</v>
      </c>
      <c r="E120" s="3" t="s">
        <v>26</v>
      </c>
      <c r="F120" s="2" t="str">
        <f t="shared" si="2"/>
        <v>82 к</v>
      </c>
      <c r="G120" s="4">
        <v>0.01</v>
      </c>
      <c r="H120" s="3" t="s">
        <v>132</v>
      </c>
      <c r="I120" s="3" t="s">
        <v>32</v>
      </c>
      <c r="K120" s="7"/>
    </row>
    <row r="121" spans="1:11" ht="15.5" x14ac:dyDescent="0.35">
      <c r="A1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Resistor_91k_1_0603</v>
      </c>
      <c r="B121" s="8" t="str">
        <f>CONCATENATE("Резистор номиналом ",Таблица6[[#This Row],[Value]],"Ом и точностью ",Таблица6[[#This Row],[Tolerance]]*100," %")</f>
        <v>Резистор номиналом 91 кОм и точностью 1 %</v>
      </c>
      <c r="C121" s="3" t="s">
        <v>26</v>
      </c>
      <c r="D121" s="3" t="s">
        <v>29</v>
      </c>
      <c r="E121" s="3" t="s">
        <v>26</v>
      </c>
      <c r="F121" s="2" t="str">
        <f t="shared" si="2"/>
        <v>91 к</v>
      </c>
      <c r="G121" s="4">
        <v>0.01</v>
      </c>
      <c r="H121" s="3" t="s">
        <v>132</v>
      </c>
      <c r="I121" s="3" t="s">
        <v>32</v>
      </c>
      <c r="K121" s="7"/>
    </row>
    <row r="122" spans="1:11" ht="15.5" x14ac:dyDescent="0.35">
      <c r="A1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Resistor_100k_1_0603</v>
      </c>
      <c r="B122" s="8" t="str">
        <f>CONCATENATE("Резистор номиналом ",Таблица6[[#This Row],[Value]],"Ом и точностью ",Таблица6[[#This Row],[Tolerance]]*100," %")</f>
        <v>Резистор номиналом 100 кОм и точностью 1 %</v>
      </c>
      <c r="C122" s="3" t="s">
        <v>26</v>
      </c>
      <c r="D122" s="3" t="s">
        <v>29</v>
      </c>
      <c r="E122" s="3" t="s">
        <v>26</v>
      </c>
      <c r="F122" s="2" t="str">
        <f t="shared" si="2"/>
        <v>100 к</v>
      </c>
      <c r="G122" s="4">
        <v>0.01</v>
      </c>
      <c r="H122" s="3" t="s">
        <v>132</v>
      </c>
      <c r="I122" s="3" t="s">
        <v>32</v>
      </c>
      <c r="K122" s="7"/>
    </row>
    <row r="123" spans="1:11" ht="15.5" x14ac:dyDescent="0.35">
      <c r="A1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Resistor_110k_1_0603</v>
      </c>
      <c r="B123" s="8" t="str">
        <f>CONCATENATE("Резистор номиналом ",Таблица6[[#This Row],[Value]],"Ом и точностью ",Таблица6[[#This Row],[Tolerance]]*100," %")</f>
        <v>Резистор номиналом 110 кОм и точностью 1 %</v>
      </c>
      <c r="C123" s="3" t="s">
        <v>26</v>
      </c>
      <c r="D123" s="3" t="s">
        <v>29</v>
      </c>
      <c r="E123" s="3" t="s">
        <v>26</v>
      </c>
      <c r="F123" s="2" t="str">
        <f t="shared" si="2"/>
        <v>110 к</v>
      </c>
      <c r="G123" s="4">
        <v>0.01</v>
      </c>
      <c r="H123" s="3" t="s">
        <v>132</v>
      </c>
      <c r="I123" s="3" t="s">
        <v>32</v>
      </c>
    </row>
    <row r="124" spans="1:11" ht="15.5" x14ac:dyDescent="0.35">
      <c r="A1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Resistor_120k_1_0603</v>
      </c>
      <c r="B124" s="8" t="str">
        <f>CONCATENATE("Резистор номиналом ",Таблица6[[#This Row],[Value]],"Ом и точностью ",Таблица6[[#This Row],[Tolerance]]*100," %")</f>
        <v>Резистор номиналом 120 кОм и точностью 1 %</v>
      </c>
      <c r="C124" s="3" t="s">
        <v>26</v>
      </c>
      <c r="D124" s="3" t="s">
        <v>29</v>
      </c>
      <c r="E124" s="3" t="s">
        <v>26</v>
      </c>
      <c r="F124" s="2" t="str">
        <f t="shared" si="2"/>
        <v>120 к</v>
      </c>
      <c r="G124" s="4">
        <v>0.01</v>
      </c>
      <c r="H124" s="3" t="s">
        <v>132</v>
      </c>
      <c r="I124" s="3" t="s">
        <v>32</v>
      </c>
    </row>
    <row r="125" spans="1:11" ht="15.5" x14ac:dyDescent="0.35">
      <c r="A1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Resistor_130k_1_0603</v>
      </c>
      <c r="B125" s="8" t="str">
        <f>CONCATENATE("Резистор номиналом ",Таблица6[[#This Row],[Value]],"Ом и точностью ",Таблица6[[#This Row],[Tolerance]]*100," %")</f>
        <v>Резистор номиналом 130 кОм и точностью 1 %</v>
      </c>
      <c r="C125" s="3" t="s">
        <v>26</v>
      </c>
      <c r="D125" s="3" t="s">
        <v>29</v>
      </c>
      <c r="E125" s="3" t="s">
        <v>26</v>
      </c>
      <c r="F125" s="2" t="str">
        <f t="shared" si="2"/>
        <v>130 к</v>
      </c>
      <c r="G125" s="4">
        <v>0.01</v>
      </c>
      <c r="H125" s="3" t="s">
        <v>132</v>
      </c>
      <c r="I125" s="3" t="s">
        <v>32</v>
      </c>
    </row>
    <row r="126" spans="1:11" ht="15.5" x14ac:dyDescent="0.35">
      <c r="A1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Resistor_150k_1_0603</v>
      </c>
      <c r="B126" s="8" t="str">
        <f>CONCATENATE("Резистор номиналом ",Таблица6[[#This Row],[Value]],"Ом и точностью ",Таблица6[[#This Row],[Tolerance]]*100," %")</f>
        <v>Резистор номиналом 150 кОм и точностью 1 %</v>
      </c>
      <c r="C126" s="3" t="s">
        <v>26</v>
      </c>
      <c r="D126" s="3" t="s">
        <v>29</v>
      </c>
      <c r="E126" s="3" t="s">
        <v>26</v>
      </c>
      <c r="F126" s="2" t="str">
        <f t="shared" si="2"/>
        <v>150 к</v>
      </c>
      <c r="G126" s="4">
        <v>0.01</v>
      </c>
      <c r="H126" s="3" t="s">
        <v>132</v>
      </c>
      <c r="I126" s="3" t="s">
        <v>32</v>
      </c>
    </row>
    <row r="127" spans="1:11" ht="15.5" x14ac:dyDescent="0.35">
      <c r="A1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Resistor_160k_1_0603</v>
      </c>
      <c r="B127" s="8" t="str">
        <f>CONCATENATE("Резистор номиналом ",Таблица6[[#This Row],[Value]],"Ом и точностью ",Таблица6[[#This Row],[Tolerance]]*100," %")</f>
        <v>Резистор номиналом 160 кОм и точностью 1 %</v>
      </c>
      <c r="C127" s="3" t="s">
        <v>26</v>
      </c>
      <c r="D127" s="3" t="s">
        <v>29</v>
      </c>
      <c r="E127" s="3" t="s">
        <v>26</v>
      </c>
      <c r="F127" s="2" t="str">
        <f t="shared" si="2"/>
        <v>160 к</v>
      </c>
      <c r="G127" s="4">
        <v>0.01</v>
      </c>
      <c r="H127" s="3" t="s">
        <v>132</v>
      </c>
      <c r="I127" s="3" t="s">
        <v>32</v>
      </c>
    </row>
    <row r="128" spans="1:11" ht="15.5" x14ac:dyDescent="0.35">
      <c r="A1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Resistor_180k_1_0603</v>
      </c>
      <c r="B128" s="8" t="str">
        <f>CONCATENATE("Резистор номиналом ",Таблица6[[#This Row],[Value]],"Ом и точностью ",Таблица6[[#This Row],[Tolerance]]*100," %")</f>
        <v>Резистор номиналом 180 кОм и точностью 1 %</v>
      </c>
      <c r="C128" s="3" t="s">
        <v>26</v>
      </c>
      <c r="D128" s="3" t="s">
        <v>29</v>
      </c>
      <c r="E128" s="3" t="s">
        <v>26</v>
      </c>
      <c r="F128" s="2" t="str">
        <f t="shared" si="2"/>
        <v>180 к</v>
      </c>
      <c r="G128" s="4">
        <v>0.01</v>
      </c>
      <c r="H128" s="3" t="s">
        <v>132</v>
      </c>
      <c r="I128" s="3" t="s">
        <v>32</v>
      </c>
    </row>
    <row r="129" spans="1:9" ht="15.5" x14ac:dyDescent="0.35">
      <c r="A1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Resistor_200k_1_0603</v>
      </c>
      <c r="B129" s="8" t="str">
        <f>CONCATENATE("Резистор номиналом ",Таблица6[[#This Row],[Value]],"Ом и точностью ",Таблица6[[#This Row],[Tolerance]]*100," %")</f>
        <v>Резистор номиналом 200 кОм и точностью 1 %</v>
      </c>
      <c r="C129" s="3" t="s">
        <v>26</v>
      </c>
      <c r="D129" s="3" t="s">
        <v>29</v>
      </c>
      <c r="E129" s="3" t="s">
        <v>26</v>
      </c>
      <c r="F129" s="2" t="str">
        <f t="shared" si="2"/>
        <v>200 к</v>
      </c>
      <c r="G129" s="4">
        <v>0.01</v>
      </c>
      <c r="H129" s="3" t="s">
        <v>132</v>
      </c>
      <c r="I129" s="3" t="s">
        <v>32</v>
      </c>
    </row>
    <row r="130" spans="1:9" ht="15.5" x14ac:dyDescent="0.35">
      <c r="A1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Resistor_220k_1_0603</v>
      </c>
      <c r="B130" s="8" t="str">
        <f>CONCATENATE("Резистор номиналом ",Таблица6[[#This Row],[Value]],"Ом и точностью ",Таблица6[[#This Row],[Tolerance]]*100," %")</f>
        <v>Резистор номиналом 220 кОм и точностью 1 %</v>
      </c>
      <c r="C130" s="3" t="s">
        <v>26</v>
      </c>
      <c r="D130" s="3" t="s">
        <v>29</v>
      </c>
      <c r="E130" s="3" t="s">
        <v>26</v>
      </c>
      <c r="F130" s="2" t="str">
        <f t="shared" si="2"/>
        <v>220 к</v>
      </c>
      <c r="G130" s="4">
        <v>0.01</v>
      </c>
      <c r="H130" s="3" t="s">
        <v>132</v>
      </c>
      <c r="I130" s="3" t="s">
        <v>32</v>
      </c>
    </row>
    <row r="131" spans="1:9" ht="15.5" x14ac:dyDescent="0.35">
      <c r="A1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Resistor_240k_1_0603</v>
      </c>
      <c r="B131" s="8" t="str">
        <f>CONCATENATE("Резистор номиналом ",Таблица6[[#This Row],[Value]],"Ом и точностью ",Таблица6[[#This Row],[Tolerance]]*100," %")</f>
        <v>Резистор номиналом 240 кОм и точностью 1 %</v>
      </c>
      <c r="C131" s="3" t="s">
        <v>26</v>
      </c>
      <c r="D131" s="3" t="s">
        <v>29</v>
      </c>
      <c r="E131" s="3" t="s">
        <v>26</v>
      </c>
      <c r="F131" s="2" t="str">
        <f t="shared" si="2"/>
        <v>240 к</v>
      </c>
      <c r="G131" s="4">
        <v>0.01</v>
      </c>
      <c r="H131" s="3" t="s">
        <v>132</v>
      </c>
      <c r="I131" s="3" t="s">
        <v>32</v>
      </c>
    </row>
    <row r="132" spans="1:9" ht="15.5" x14ac:dyDescent="0.35">
      <c r="A1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Resistor_270k_1_0603</v>
      </c>
      <c r="B132" s="8" t="str">
        <f>CONCATENATE("Резистор номиналом ",Таблица6[[#This Row],[Value]],"Ом и точностью ",Таблица6[[#This Row],[Tolerance]]*100," %")</f>
        <v>Резистор номиналом 270 кОм и точностью 1 %</v>
      </c>
      <c r="C132" s="3" t="s">
        <v>26</v>
      </c>
      <c r="D132" s="3" t="s">
        <v>29</v>
      </c>
      <c r="E132" s="3" t="s">
        <v>26</v>
      </c>
      <c r="F132" s="2" t="str">
        <f t="shared" si="2"/>
        <v>270 к</v>
      </c>
      <c r="G132" s="4">
        <v>0.01</v>
      </c>
      <c r="H132" s="3" t="s">
        <v>132</v>
      </c>
      <c r="I132" s="3" t="s">
        <v>32</v>
      </c>
    </row>
    <row r="133" spans="1:9" ht="15.5" x14ac:dyDescent="0.35">
      <c r="A1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Resistor_300k_1_0603</v>
      </c>
      <c r="B133" s="8" t="str">
        <f>CONCATENATE("Резистор номиналом ",Таблица6[[#This Row],[Value]],"Ом и точностью ",Таблица6[[#This Row],[Tolerance]]*100," %")</f>
        <v>Резистор номиналом 300 кОм и точностью 1 %</v>
      </c>
      <c r="C133" s="3" t="s">
        <v>26</v>
      </c>
      <c r="D133" s="3" t="s">
        <v>29</v>
      </c>
      <c r="E133" s="3" t="s">
        <v>26</v>
      </c>
      <c r="F133" s="2" t="str">
        <f t="shared" si="2"/>
        <v>300 к</v>
      </c>
      <c r="G133" s="4">
        <v>0.01</v>
      </c>
      <c r="H133" s="3" t="s">
        <v>132</v>
      </c>
      <c r="I133" s="3" t="s">
        <v>32</v>
      </c>
    </row>
    <row r="134" spans="1:9" ht="15.5" x14ac:dyDescent="0.35">
      <c r="A1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Resistor_330k_1_0603</v>
      </c>
      <c r="B134" s="8" t="str">
        <f>CONCATENATE("Резистор номиналом ",Таблица6[[#This Row],[Value]],"Ом и точностью ",Таблица6[[#This Row],[Tolerance]]*100," %")</f>
        <v>Резистор номиналом 330 кОм и точностью 1 %</v>
      </c>
      <c r="C134" s="3" t="s">
        <v>26</v>
      </c>
      <c r="D134" s="3" t="s">
        <v>29</v>
      </c>
      <c r="E134" s="3" t="s">
        <v>26</v>
      </c>
      <c r="F134" s="2" t="str">
        <f t="shared" si="2"/>
        <v>330 к</v>
      </c>
      <c r="G134" s="4">
        <v>0.01</v>
      </c>
      <c r="H134" s="3" t="s">
        <v>132</v>
      </c>
      <c r="I134" s="3" t="s">
        <v>32</v>
      </c>
    </row>
    <row r="135" spans="1:9" ht="15.5" x14ac:dyDescent="0.35">
      <c r="A1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Resistor_360k_1_0603</v>
      </c>
      <c r="B135" s="8" t="str">
        <f>CONCATENATE("Резистор номиналом ",Таблица6[[#This Row],[Value]],"Ом и точностью ",Таблица6[[#This Row],[Tolerance]]*100," %")</f>
        <v>Резистор номиналом 360 кОм и точностью 1 %</v>
      </c>
      <c r="C135" s="3" t="s">
        <v>26</v>
      </c>
      <c r="D135" s="3" t="s">
        <v>29</v>
      </c>
      <c r="E135" s="3" t="s">
        <v>26</v>
      </c>
      <c r="F135" s="2" t="str">
        <f t="shared" si="2"/>
        <v>360 к</v>
      </c>
      <c r="G135" s="4">
        <v>0.01</v>
      </c>
      <c r="H135" s="3" t="s">
        <v>132</v>
      </c>
      <c r="I135" s="3" t="s">
        <v>32</v>
      </c>
    </row>
    <row r="136" spans="1:9" ht="15.5" x14ac:dyDescent="0.35">
      <c r="A1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Resistor_390k_1_0603</v>
      </c>
      <c r="B136" s="8" t="str">
        <f>CONCATENATE("Резистор номиналом ",Таблица6[[#This Row],[Value]],"Ом и точностью ",Таблица6[[#This Row],[Tolerance]]*100," %")</f>
        <v>Резистор номиналом 390 кОм и точностью 1 %</v>
      </c>
      <c r="C136" s="3" t="s">
        <v>26</v>
      </c>
      <c r="D136" s="3" t="s">
        <v>29</v>
      </c>
      <c r="E136" s="3" t="s">
        <v>26</v>
      </c>
      <c r="F136" s="2" t="str">
        <f t="shared" si="2"/>
        <v>390 к</v>
      </c>
      <c r="G136" s="4">
        <v>0.01</v>
      </c>
      <c r="H136" s="3" t="s">
        <v>132</v>
      </c>
      <c r="I136" s="3" t="s">
        <v>32</v>
      </c>
    </row>
    <row r="137" spans="1:9" ht="15.5" x14ac:dyDescent="0.35">
      <c r="A1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Resistor_430k_1_0603</v>
      </c>
      <c r="B137" s="8" t="str">
        <f>CONCATENATE("Резистор номиналом ",Таблица6[[#This Row],[Value]],"Ом и точностью ",Таблица6[[#This Row],[Tolerance]]*100," %")</f>
        <v>Резистор номиналом 430 кОм и точностью 1 %</v>
      </c>
      <c r="C137" s="3" t="s">
        <v>26</v>
      </c>
      <c r="D137" s="3" t="s">
        <v>29</v>
      </c>
      <c r="E137" s="3" t="s">
        <v>26</v>
      </c>
      <c r="F137" s="2" t="str">
        <f t="shared" si="2"/>
        <v>430 к</v>
      </c>
      <c r="G137" s="4">
        <v>0.01</v>
      </c>
      <c r="H137" s="3" t="s">
        <v>132</v>
      </c>
      <c r="I137" s="3" t="s">
        <v>32</v>
      </c>
    </row>
    <row r="138" spans="1:9" ht="15.5" x14ac:dyDescent="0.35">
      <c r="A1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Resistor_470k_1_0603</v>
      </c>
      <c r="B138" s="8" t="str">
        <f>CONCATENATE("Резистор номиналом ",Таблица6[[#This Row],[Value]],"Ом и точностью ",Таблица6[[#This Row],[Tolerance]]*100," %")</f>
        <v>Резистор номиналом 470 кОм и точностью 1 %</v>
      </c>
      <c r="C138" s="3" t="s">
        <v>26</v>
      </c>
      <c r="D138" s="3" t="s">
        <v>29</v>
      </c>
      <c r="E138" s="3" t="s">
        <v>26</v>
      </c>
      <c r="F138" s="2" t="str">
        <f t="shared" ref="F138:F145" si="3">CONCATENATE(F66," к")</f>
        <v>470 к</v>
      </c>
      <c r="G138" s="4">
        <v>0.01</v>
      </c>
      <c r="H138" s="3" t="s">
        <v>132</v>
      </c>
      <c r="I138" s="3" t="s">
        <v>32</v>
      </c>
    </row>
    <row r="139" spans="1:9" ht="15.5" x14ac:dyDescent="0.35">
      <c r="A1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Resistor_510k_1_0603</v>
      </c>
      <c r="B139" s="8" t="str">
        <f>CONCATENATE("Резистор номиналом ",Таблица6[[#This Row],[Value]],"Ом и точностью ",Таблица6[[#This Row],[Tolerance]]*100," %")</f>
        <v>Резистор номиналом 510 кОм и точностью 1 %</v>
      </c>
      <c r="C139" s="3" t="s">
        <v>26</v>
      </c>
      <c r="D139" s="3" t="s">
        <v>29</v>
      </c>
      <c r="E139" s="3" t="s">
        <v>26</v>
      </c>
      <c r="F139" s="2" t="str">
        <f t="shared" si="3"/>
        <v>510 к</v>
      </c>
      <c r="G139" s="4">
        <v>0.01</v>
      </c>
      <c r="H139" s="3" t="s">
        <v>132</v>
      </c>
      <c r="I139" s="3" t="s">
        <v>32</v>
      </c>
    </row>
    <row r="140" spans="1:9" ht="15.5" x14ac:dyDescent="0.35">
      <c r="A1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Resistor_560k_1_0603</v>
      </c>
      <c r="B140" s="8" t="str">
        <f>CONCATENATE("Резистор номиналом ",Таблица6[[#This Row],[Value]],"Ом и точностью ",Таблица6[[#This Row],[Tolerance]]*100," %")</f>
        <v>Резистор номиналом 560 кОм и точностью 1 %</v>
      </c>
      <c r="C140" s="3" t="s">
        <v>26</v>
      </c>
      <c r="D140" s="3" t="s">
        <v>29</v>
      </c>
      <c r="E140" s="3" t="s">
        <v>26</v>
      </c>
      <c r="F140" s="2" t="str">
        <f t="shared" si="3"/>
        <v>560 к</v>
      </c>
      <c r="G140" s="4">
        <v>0.01</v>
      </c>
      <c r="H140" s="3" t="s">
        <v>132</v>
      </c>
      <c r="I140" s="3" t="s">
        <v>32</v>
      </c>
    </row>
    <row r="141" spans="1:9" ht="15.5" x14ac:dyDescent="0.35">
      <c r="A1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Resistor_620k_1_0603</v>
      </c>
      <c r="B141" s="8" t="str">
        <f>CONCATENATE("Резистор номиналом ",Таблица6[[#This Row],[Value]],"Ом и точностью ",Таблица6[[#This Row],[Tolerance]]*100," %")</f>
        <v>Резистор номиналом 620 кОм и точностью 1 %</v>
      </c>
      <c r="C141" s="3" t="s">
        <v>26</v>
      </c>
      <c r="D141" s="3" t="s">
        <v>29</v>
      </c>
      <c r="E141" s="3" t="s">
        <v>26</v>
      </c>
      <c r="F141" s="2" t="str">
        <f t="shared" si="3"/>
        <v>620 к</v>
      </c>
      <c r="G141" s="4">
        <v>0.01</v>
      </c>
      <c r="H141" s="3" t="s">
        <v>132</v>
      </c>
      <c r="I141" s="3" t="s">
        <v>32</v>
      </c>
    </row>
    <row r="142" spans="1:9" ht="15.5" x14ac:dyDescent="0.35">
      <c r="A1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Resistor_680k_1_0603</v>
      </c>
      <c r="B142" s="8" t="str">
        <f>CONCATENATE("Резистор номиналом ",Таблица6[[#This Row],[Value]],"Ом и точностью ",Таблица6[[#This Row],[Tolerance]]*100," %")</f>
        <v>Резистор номиналом 680 кОм и точностью 1 %</v>
      </c>
      <c r="C142" s="3" t="s">
        <v>26</v>
      </c>
      <c r="D142" s="3" t="s">
        <v>29</v>
      </c>
      <c r="E142" s="3" t="s">
        <v>26</v>
      </c>
      <c r="F142" s="2" t="str">
        <f t="shared" si="3"/>
        <v>680 к</v>
      </c>
      <c r="G142" s="4">
        <v>0.01</v>
      </c>
      <c r="H142" s="3" t="s">
        <v>132</v>
      </c>
      <c r="I142" s="3" t="s">
        <v>32</v>
      </c>
    </row>
    <row r="143" spans="1:9" ht="15.5" x14ac:dyDescent="0.35">
      <c r="A1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Resistor_750k_1_0603</v>
      </c>
      <c r="B143" s="8" t="str">
        <f>CONCATENATE("Резистор номиналом ",Таблица6[[#This Row],[Value]],"Ом и точностью ",Таблица6[[#This Row],[Tolerance]]*100," %")</f>
        <v>Резистор номиналом 750 кОм и точностью 1 %</v>
      </c>
      <c r="C143" s="3" t="s">
        <v>26</v>
      </c>
      <c r="D143" s="3" t="s">
        <v>29</v>
      </c>
      <c r="E143" s="3" t="s">
        <v>26</v>
      </c>
      <c r="F143" s="2" t="str">
        <f t="shared" si="3"/>
        <v>750 к</v>
      </c>
      <c r="G143" s="4">
        <v>0.01</v>
      </c>
      <c r="H143" s="3" t="s">
        <v>132</v>
      </c>
      <c r="I143" s="3" t="s">
        <v>32</v>
      </c>
    </row>
    <row r="144" spans="1:9" ht="15.5" x14ac:dyDescent="0.35">
      <c r="A1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Resistor_820k_1_0603</v>
      </c>
      <c r="B144" s="8" t="str">
        <f>CONCATENATE("Резистор номиналом ",Таблица6[[#This Row],[Value]],"Ом и точностью ",Таблица6[[#This Row],[Tolerance]]*100," %")</f>
        <v>Резистор номиналом 820 кОм и точностью 1 %</v>
      </c>
      <c r="C144" s="3" t="s">
        <v>26</v>
      </c>
      <c r="D144" s="3" t="s">
        <v>29</v>
      </c>
      <c r="E144" s="3" t="s">
        <v>26</v>
      </c>
      <c r="F144" s="2" t="str">
        <f t="shared" si="3"/>
        <v>820 к</v>
      </c>
      <c r="G144" s="4">
        <v>0.01</v>
      </c>
      <c r="H144" s="3" t="s">
        <v>132</v>
      </c>
      <c r="I144" s="3" t="s">
        <v>32</v>
      </c>
    </row>
    <row r="145" spans="1:9" ht="15.5" x14ac:dyDescent="0.35">
      <c r="A1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Resistor_910k_1_0603</v>
      </c>
      <c r="B145" s="8" t="str">
        <f>CONCATENATE("Резистор номиналом ",Таблица6[[#This Row],[Value]],"Ом и точностью ",Таблица6[[#This Row],[Tolerance]]*100," %")</f>
        <v>Резистор номиналом 910 кОм и точностью 1 %</v>
      </c>
      <c r="C145" s="3" t="s">
        <v>26</v>
      </c>
      <c r="D145" s="3" t="s">
        <v>29</v>
      </c>
      <c r="E145" s="3" t="s">
        <v>26</v>
      </c>
      <c r="F145" s="2" t="str">
        <f t="shared" si="3"/>
        <v>910 к</v>
      </c>
      <c r="G145" s="4">
        <v>0.01</v>
      </c>
      <c r="H145" s="3" t="s">
        <v>132</v>
      </c>
      <c r="I145" s="3" t="s">
        <v>32</v>
      </c>
    </row>
    <row r="146" spans="1:9" ht="15.5" x14ac:dyDescent="0.35">
      <c r="A1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Resistor_1.0M_1_0603</v>
      </c>
      <c r="B146" s="8" t="str">
        <f>CONCATENATE("Резистор номиналом ",Таблица6[[#This Row],[Value]],"Ом и точностью ",Таблица6[[#This Row],[Tolerance]]*100," %")</f>
        <v>Резистор номиналом 1,0 МОм и точностью 1 %</v>
      </c>
      <c r="C146" s="3" t="s">
        <v>26</v>
      </c>
      <c r="D146" s="3" t="s">
        <v>29</v>
      </c>
      <c r="E146" s="3" t="s">
        <v>26</v>
      </c>
      <c r="F146" s="10" t="str">
        <f t="shared" ref="F146:F170" si="4">CONCATENATE(F2," М")</f>
        <v>1,0 М</v>
      </c>
      <c r="G146" s="4">
        <v>0.01</v>
      </c>
      <c r="H146" s="3" t="s">
        <v>132</v>
      </c>
      <c r="I146" s="3" t="s">
        <v>32</v>
      </c>
    </row>
    <row r="147" spans="1:9" ht="15.5" x14ac:dyDescent="0.35">
      <c r="A1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Resistor_1.1M_1_0603</v>
      </c>
      <c r="B147" s="8" t="str">
        <f>CONCATENATE("Резистор номиналом ",Таблица6[[#This Row],[Value]],"Ом и точностью ",Таблица6[[#This Row],[Tolerance]]*100," %")</f>
        <v>Резистор номиналом 1,1 МОм и точностью 1 %</v>
      </c>
      <c r="C147" s="3" t="s">
        <v>26</v>
      </c>
      <c r="D147" s="3" t="s">
        <v>29</v>
      </c>
      <c r="E147" s="3" t="s">
        <v>26</v>
      </c>
      <c r="F147" s="10" t="str">
        <f t="shared" si="4"/>
        <v>1,1 М</v>
      </c>
      <c r="G147" s="4">
        <v>0.01</v>
      </c>
      <c r="H147" s="3" t="s">
        <v>132</v>
      </c>
      <c r="I147" s="3" t="s">
        <v>32</v>
      </c>
    </row>
    <row r="148" spans="1:9" ht="15.5" x14ac:dyDescent="0.35">
      <c r="A1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Resistor_1.2M_1_0603</v>
      </c>
      <c r="B148" s="8" t="str">
        <f>CONCATENATE("Резистор номиналом ",Таблица6[[#This Row],[Value]],"Ом и точностью ",Таблица6[[#This Row],[Tolerance]]*100," %")</f>
        <v>Резистор номиналом 1,2 МОм и точностью 1 %</v>
      </c>
      <c r="C148" s="3" t="s">
        <v>26</v>
      </c>
      <c r="D148" s="3" t="s">
        <v>29</v>
      </c>
      <c r="E148" s="3" t="s">
        <v>26</v>
      </c>
      <c r="F148" s="7" t="str">
        <f t="shared" si="4"/>
        <v>1,2 М</v>
      </c>
      <c r="G148" s="4">
        <v>0.01</v>
      </c>
      <c r="H148" s="3" t="s">
        <v>132</v>
      </c>
      <c r="I148" s="3" t="s">
        <v>32</v>
      </c>
    </row>
    <row r="149" spans="1:9" ht="15.5" x14ac:dyDescent="0.35">
      <c r="A1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Resistor_1.3M_1_0603</v>
      </c>
      <c r="B149" s="8" t="str">
        <f>CONCATENATE("Резистор номиналом ",Таблица6[[#This Row],[Value]],"Ом и точностью ",Таблица6[[#This Row],[Tolerance]]*100," %")</f>
        <v>Резистор номиналом 1,3 МОм и точностью 1 %</v>
      </c>
      <c r="C149" s="3" t="s">
        <v>26</v>
      </c>
      <c r="D149" s="3" t="s">
        <v>29</v>
      </c>
      <c r="E149" s="3" t="s">
        <v>26</v>
      </c>
      <c r="F149" s="7" t="str">
        <f t="shared" si="4"/>
        <v>1,3 М</v>
      </c>
      <c r="G149" s="4">
        <v>0.01</v>
      </c>
      <c r="H149" s="3" t="s">
        <v>132</v>
      </c>
      <c r="I149" s="3" t="s">
        <v>32</v>
      </c>
    </row>
    <row r="150" spans="1:9" ht="15.5" x14ac:dyDescent="0.35">
      <c r="A1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Resistor_1.5M_1_0603</v>
      </c>
      <c r="B150" s="8" t="str">
        <f>CONCATENATE("Резистор номиналом ",Таблица6[[#This Row],[Value]],"Ом и точностью ",Таблица6[[#This Row],[Tolerance]]*100," %")</f>
        <v>Резистор номиналом 1,5 МОм и точностью 1 %</v>
      </c>
      <c r="C150" s="3" t="s">
        <v>26</v>
      </c>
      <c r="D150" s="3" t="s">
        <v>29</v>
      </c>
      <c r="E150" s="3" t="s">
        <v>26</v>
      </c>
      <c r="F150" s="7" t="str">
        <f t="shared" si="4"/>
        <v>1,5 М</v>
      </c>
      <c r="G150" s="4">
        <v>0.01</v>
      </c>
      <c r="H150" s="3" t="s">
        <v>132</v>
      </c>
      <c r="I150" s="3" t="s">
        <v>32</v>
      </c>
    </row>
    <row r="151" spans="1:9" ht="15.5" x14ac:dyDescent="0.35">
      <c r="A1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Resistor_1.6M_1_0603</v>
      </c>
      <c r="B151" s="8" t="str">
        <f>CONCATENATE("Резистор номиналом ",Таблица6[[#This Row],[Value]],"Ом и точностью ",Таблица6[[#This Row],[Tolerance]]*100," %")</f>
        <v>Резистор номиналом 1,6 МОм и точностью 1 %</v>
      </c>
      <c r="C151" s="3" t="s">
        <v>26</v>
      </c>
      <c r="D151" s="3" t="s">
        <v>29</v>
      </c>
      <c r="E151" s="3" t="s">
        <v>26</v>
      </c>
      <c r="F151" s="7" t="str">
        <f t="shared" si="4"/>
        <v>1,6 М</v>
      </c>
      <c r="G151" s="4">
        <v>0.01</v>
      </c>
      <c r="H151" s="3" t="s">
        <v>132</v>
      </c>
      <c r="I151" s="3" t="s">
        <v>32</v>
      </c>
    </row>
    <row r="152" spans="1:9" ht="15.5" x14ac:dyDescent="0.35">
      <c r="A1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Resistor_1.8M_1_0603</v>
      </c>
      <c r="B152" s="8" t="str">
        <f>CONCATENATE("Резистор номиналом ",Таблица6[[#This Row],[Value]],"Ом и точностью ",Таблица6[[#This Row],[Tolerance]]*100," %")</f>
        <v>Резистор номиналом 1,8 МОм и точностью 1 %</v>
      </c>
      <c r="C152" s="3" t="s">
        <v>26</v>
      </c>
      <c r="D152" s="3" t="s">
        <v>29</v>
      </c>
      <c r="E152" s="3" t="s">
        <v>26</v>
      </c>
      <c r="F152" s="7" t="str">
        <f t="shared" si="4"/>
        <v>1,8 М</v>
      </c>
      <c r="G152" s="4">
        <v>0.01</v>
      </c>
      <c r="H152" s="3" t="s">
        <v>132</v>
      </c>
      <c r="I152" s="3" t="s">
        <v>32</v>
      </c>
    </row>
    <row r="153" spans="1:9" ht="15.5" x14ac:dyDescent="0.35">
      <c r="A1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Resistor_2.0M_1_0603</v>
      </c>
      <c r="B153" s="8" t="str">
        <f>CONCATENATE("Резистор номиналом ",Таблица6[[#This Row],[Value]],"Ом и точностью ",Таблица6[[#This Row],[Tolerance]]*100," %")</f>
        <v>Резистор номиналом 2,0 МОм и точностью 1 %</v>
      </c>
      <c r="C153" s="3" t="s">
        <v>26</v>
      </c>
      <c r="D153" s="3" t="s">
        <v>29</v>
      </c>
      <c r="E153" s="3" t="s">
        <v>26</v>
      </c>
      <c r="F153" s="7" t="str">
        <f t="shared" si="4"/>
        <v>2,0 М</v>
      </c>
      <c r="G153" s="4">
        <v>0.01</v>
      </c>
      <c r="H153" s="3" t="s">
        <v>132</v>
      </c>
      <c r="I153" s="3" t="s">
        <v>32</v>
      </c>
    </row>
    <row r="154" spans="1:9" ht="15.5" x14ac:dyDescent="0.35">
      <c r="A1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Resistor_2.2M_1_0603</v>
      </c>
      <c r="B154" s="8" t="str">
        <f>CONCATENATE("Резистор номиналом ",Таблица6[[#This Row],[Value]],"Ом и точностью ",Таблица6[[#This Row],[Tolerance]]*100," %")</f>
        <v>Резистор номиналом 2,2 МОм и точностью 1 %</v>
      </c>
      <c r="C154" s="3" t="s">
        <v>26</v>
      </c>
      <c r="D154" s="3" t="s">
        <v>29</v>
      </c>
      <c r="E154" s="3" t="s">
        <v>26</v>
      </c>
      <c r="F154" s="7" t="str">
        <f t="shared" si="4"/>
        <v>2,2 М</v>
      </c>
      <c r="G154" s="4">
        <v>0.01</v>
      </c>
      <c r="H154" s="3" t="s">
        <v>132</v>
      </c>
      <c r="I154" s="3" t="s">
        <v>32</v>
      </c>
    </row>
    <row r="155" spans="1:9" ht="15.5" x14ac:dyDescent="0.35">
      <c r="A1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Resistor_2.4M_1_0603</v>
      </c>
      <c r="B155" s="8" t="str">
        <f>CONCATENATE("Резистор номиналом ",Таблица6[[#This Row],[Value]],"Ом и точностью ",Таблица6[[#This Row],[Tolerance]]*100," %")</f>
        <v>Резистор номиналом 2,4 МОм и точностью 1 %</v>
      </c>
      <c r="C155" s="3" t="s">
        <v>26</v>
      </c>
      <c r="D155" s="3" t="s">
        <v>29</v>
      </c>
      <c r="E155" s="3" t="s">
        <v>26</v>
      </c>
      <c r="F155" s="7" t="str">
        <f t="shared" si="4"/>
        <v>2,4 М</v>
      </c>
      <c r="G155" s="4">
        <v>0.01</v>
      </c>
      <c r="H155" s="3" t="s">
        <v>132</v>
      </c>
      <c r="I155" s="3" t="s">
        <v>32</v>
      </c>
    </row>
    <row r="156" spans="1:9" ht="15.5" x14ac:dyDescent="0.35">
      <c r="A1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Resistor_2.7M_1_0603</v>
      </c>
      <c r="B156" s="8" t="str">
        <f>CONCATENATE("Резистор номиналом ",Таблица6[[#This Row],[Value]],"Ом и точностью ",Таблица6[[#This Row],[Tolerance]]*100," %")</f>
        <v>Резистор номиналом 2,7 МОм и точностью 1 %</v>
      </c>
      <c r="C156" s="3" t="s">
        <v>26</v>
      </c>
      <c r="D156" s="3" t="s">
        <v>29</v>
      </c>
      <c r="E156" s="3" t="s">
        <v>26</v>
      </c>
      <c r="F156" s="7" t="str">
        <f t="shared" si="4"/>
        <v>2,7 М</v>
      </c>
      <c r="G156" s="4">
        <v>0.01</v>
      </c>
      <c r="H156" s="3" t="s">
        <v>132</v>
      </c>
      <c r="I156" s="3" t="s">
        <v>32</v>
      </c>
    </row>
    <row r="157" spans="1:9" ht="15.5" x14ac:dyDescent="0.35">
      <c r="A1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Resistor_3.0M_1_0603</v>
      </c>
      <c r="B157" s="8" t="str">
        <f>CONCATENATE("Резистор номиналом ",Таблица6[[#This Row],[Value]],"Ом и точностью ",Таблица6[[#This Row],[Tolerance]]*100," %")</f>
        <v>Резистор номиналом 3,0 МОм и точностью 1 %</v>
      </c>
      <c r="C157" s="3" t="s">
        <v>26</v>
      </c>
      <c r="D157" s="3" t="s">
        <v>29</v>
      </c>
      <c r="E157" s="3" t="s">
        <v>26</v>
      </c>
      <c r="F157" s="7" t="str">
        <f t="shared" si="4"/>
        <v>3,0 М</v>
      </c>
      <c r="G157" s="4">
        <v>0.01</v>
      </c>
      <c r="H157" s="3" t="s">
        <v>132</v>
      </c>
      <c r="I157" s="3" t="s">
        <v>32</v>
      </c>
    </row>
    <row r="158" spans="1:9" ht="15.5" x14ac:dyDescent="0.35">
      <c r="A1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Resistor_3.3M_1_0603</v>
      </c>
      <c r="B158" s="8" t="str">
        <f>CONCATENATE("Резистор номиналом ",Таблица6[[#This Row],[Value]],"Ом и точностью ",Таблица6[[#This Row],[Tolerance]]*100," %")</f>
        <v>Резистор номиналом 3,3 МОм и точностью 1 %</v>
      </c>
      <c r="C158" s="3" t="s">
        <v>26</v>
      </c>
      <c r="D158" s="3" t="s">
        <v>29</v>
      </c>
      <c r="E158" s="3" t="s">
        <v>26</v>
      </c>
      <c r="F158" s="7" t="str">
        <f t="shared" si="4"/>
        <v>3,3 М</v>
      </c>
      <c r="G158" s="4">
        <v>0.01</v>
      </c>
      <c r="H158" s="3" t="s">
        <v>132</v>
      </c>
      <c r="I158" s="3" t="s">
        <v>32</v>
      </c>
    </row>
    <row r="159" spans="1:9" ht="15.5" x14ac:dyDescent="0.35">
      <c r="A1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Resistor_3.6M_1_0603</v>
      </c>
      <c r="B159" s="8" t="str">
        <f>CONCATENATE("Резистор номиналом ",Таблица6[[#This Row],[Value]],"Ом и точностью ",Таблица6[[#This Row],[Tolerance]]*100," %")</f>
        <v>Резистор номиналом 3,6 МОм и точностью 1 %</v>
      </c>
      <c r="C159" s="3" t="s">
        <v>26</v>
      </c>
      <c r="D159" s="3" t="s">
        <v>29</v>
      </c>
      <c r="E159" s="3" t="s">
        <v>26</v>
      </c>
      <c r="F159" s="7" t="str">
        <f t="shared" si="4"/>
        <v>3,6 М</v>
      </c>
      <c r="G159" s="4">
        <v>0.01</v>
      </c>
      <c r="H159" s="3" t="s">
        <v>132</v>
      </c>
      <c r="I159" s="3" t="s">
        <v>32</v>
      </c>
    </row>
    <row r="160" spans="1:9" ht="15.5" x14ac:dyDescent="0.35">
      <c r="A1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Resistor_3.9M_1_0603</v>
      </c>
      <c r="B160" s="8" t="str">
        <f>CONCATENATE("Резистор номиналом ",Таблица6[[#This Row],[Value]],"Ом и точностью ",Таблица6[[#This Row],[Tolerance]]*100," %")</f>
        <v>Резистор номиналом 3,9 МОм и точностью 1 %</v>
      </c>
      <c r="C160" s="3" t="s">
        <v>26</v>
      </c>
      <c r="D160" s="3" t="s">
        <v>29</v>
      </c>
      <c r="E160" s="3" t="s">
        <v>26</v>
      </c>
      <c r="F160" s="7" t="str">
        <f t="shared" si="4"/>
        <v>3,9 М</v>
      </c>
      <c r="G160" s="4">
        <v>0.01</v>
      </c>
      <c r="H160" s="3" t="s">
        <v>132</v>
      </c>
      <c r="I160" s="3" t="s">
        <v>32</v>
      </c>
    </row>
    <row r="161" spans="1:9" ht="15.5" x14ac:dyDescent="0.35">
      <c r="A1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Resistor_4.3M_1_0603</v>
      </c>
      <c r="B161" s="8" t="str">
        <f>CONCATENATE("Резистор номиналом ",Таблица6[[#This Row],[Value]],"Ом и точностью ",Таблица6[[#This Row],[Tolerance]]*100," %")</f>
        <v>Резистор номиналом 4,3 МОм и точностью 1 %</v>
      </c>
      <c r="C161" s="3" t="s">
        <v>26</v>
      </c>
      <c r="D161" s="3" t="s">
        <v>29</v>
      </c>
      <c r="E161" s="3" t="s">
        <v>26</v>
      </c>
      <c r="F161" s="7" t="str">
        <f t="shared" si="4"/>
        <v>4,3 М</v>
      </c>
      <c r="G161" s="4">
        <v>0.01</v>
      </c>
      <c r="H161" s="3" t="s">
        <v>132</v>
      </c>
      <c r="I161" s="3" t="s">
        <v>32</v>
      </c>
    </row>
    <row r="162" spans="1:9" ht="15.5" x14ac:dyDescent="0.35">
      <c r="A1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Resistor_4.7M_1_0603</v>
      </c>
      <c r="B162" s="8" t="str">
        <f>CONCATENATE("Резистор номиналом ",Таблица6[[#This Row],[Value]],"Ом и точностью ",Таблица6[[#This Row],[Tolerance]]*100," %")</f>
        <v>Резистор номиналом 4,7 МОм и точностью 1 %</v>
      </c>
      <c r="C162" s="3" t="s">
        <v>26</v>
      </c>
      <c r="D162" s="3" t="s">
        <v>29</v>
      </c>
      <c r="E162" s="3" t="s">
        <v>26</v>
      </c>
      <c r="F162" s="7" t="str">
        <f t="shared" si="4"/>
        <v>4,7 М</v>
      </c>
      <c r="G162" s="4">
        <v>0.01</v>
      </c>
      <c r="H162" s="3" t="s">
        <v>132</v>
      </c>
      <c r="I162" s="3" t="s">
        <v>32</v>
      </c>
    </row>
    <row r="163" spans="1:9" ht="15.5" x14ac:dyDescent="0.35">
      <c r="A1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Resistor_5.1M_1_0603</v>
      </c>
      <c r="B163" s="8" t="str">
        <f>CONCATENATE("Резистор номиналом ",Таблица6[[#This Row],[Value]],"Ом и точностью ",Таблица6[[#This Row],[Tolerance]]*100," %")</f>
        <v>Резистор номиналом 5,1 МОм и точностью 1 %</v>
      </c>
      <c r="C163" s="3" t="s">
        <v>26</v>
      </c>
      <c r="D163" s="3" t="s">
        <v>29</v>
      </c>
      <c r="E163" s="3" t="s">
        <v>26</v>
      </c>
      <c r="F163" s="7" t="str">
        <f t="shared" si="4"/>
        <v>5,1 М</v>
      </c>
      <c r="G163" s="4">
        <v>0.01</v>
      </c>
      <c r="H163" s="3" t="s">
        <v>132</v>
      </c>
      <c r="I163" s="3" t="s">
        <v>32</v>
      </c>
    </row>
    <row r="164" spans="1:9" ht="15.5" x14ac:dyDescent="0.35">
      <c r="A1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Resistor_5.6M_1_0603</v>
      </c>
      <c r="B164" s="8" t="str">
        <f>CONCATENATE("Резистор номиналом ",Таблица6[[#This Row],[Value]],"Ом и точностью ",Таблица6[[#This Row],[Tolerance]]*100," %")</f>
        <v>Резистор номиналом 5,6 МОм и точностью 1 %</v>
      </c>
      <c r="C164" s="3" t="s">
        <v>26</v>
      </c>
      <c r="D164" s="3" t="s">
        <v>29</v>
      </c>
      <c r="E164" s="3" t="s">
        <v>26</v>
      </c>
      <c r="F164" s="7" t="str">
        <f t="shared" si="4"/>
        <v>5,6 М</v>
      </c>
      <c r="G164" s="4">
        <v>0.01</v>
      </c>
      <c r="H164" s="3" t="s">
        <v>132</v>
      </c>
      <c r="I164" s="3" t="s">
        <v>32</v>
      </c>
    </row>
    <row r="165" spans="1:9" ht="15.5" x14ac:dyDescent="0.35">
      <c r="A1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Resistor_6.2M_1_0603</v>
      </c>
      <c r="B165" s="8" t="str">
        <f>CONCATENATE("Резистор номиналом ",Таблица6[[#This Row],[Value]],"Ом и точностью ",Таблица6[[#This Row],[Tolerance]]*100," %")</f>
        <v>Резистор номиналом 6,2 МОм и точностью 1 %</v>
      </c>
      <c r="C165" s="3" t="s">
        <v>26</v>
      </c>
      <c r="D165" s="3" t="s">
        <v>29</v>
      </c>
      <c r="E165" s="3" t="s">
        <v>26</v>
      </c>
      <c r="F165" s="7" t="str">
        <f t="shared" si="4"/>
        <v>6,2 М</v>
      </c>
      <c r="G165" s="4">
        <v>0.01</v>
      </c>
      <c r="H165" s="3" t="s">
        <v>132</v>
      </c>
      <c r="I165" s="3" t="s">
        <v>32</v>
      </c>
    </row>
    <row r="166" spans="1:9" ht="15.5" x14ac:dyDescent="0.35">
      <c r="A1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Resistor_6.8M_1_0603</v>
      </c>
      <c r="B166" s="8" t="str">
        <f>CONCATENATE("Резистор номиналом ",Таблица6[[#This Row],[Value]],"Ом и точностью ",Таблица6[[#This Row],[Tolerance]]*100," %")</f>
        <v>Резистор номиналом 6,8 МОм и точностью 1 %</v>
      </c>
      <c r="C166" s="3" t="s">
        <v>26</v>
      </c>
      <c r="D166" s="3" t="s">
        <v>29</v>
      </c>
      <c r="E166" s="3" t="s">
        <v>26</v>
      </c>
      <c r="F166" s="7" t="str">
        <f t="shared" si="4"/>
        <v>6,8 М</v>
      </c>
      <c r="G166" s="4">
        <v>0.01</v>
      </c>
      <c r="H166" s="3" t="s">
        <v>132</v>
      </c>
      <c r="I166" s="3" t="s">
        <v>32</v>
      </c>
    </row>
    <row r="167" spans="1:9" ht="15.5" x14ac:dyDescent="0.35">
      <c r="A1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Resistor_7.5M_1_0603</v>
      </c>
      <c r="B167" s="8" t="str">
        <f>CONCATENATE("Резистор номиналом ",Таблица6[[#This Row],[Value]],"Ом и точностью ",Таблица6[[#This Row],[Tolerance]]*100," %")</f>
        <v>Резистор номиналом 7,5 МОм и точностью 1 %</v>
      </c>
      <c r="C167" s="3" t="s">
        <v>26</v>
      </c>
      <c r="D167" s="3" t="s">
        <v>29</v>
      </c>
      <c r="E167" s="3" t="s">
        <v>26</v>
      </c>
      <c r="F167" s="7" t="str">
        <f t="shared" si="4"/>
        <v>7,5 М</v>
      </c>
      <c r="G167" s="4">
        <v>0.01</v>
      </c>
      <c r="H167" s="3" t="s">
        <v>132</v>
      </c>
      <c r="I167" s="3" t="s">
        <v>32</v>
      </c>
    </row>
    <row r="168" spans="1:9" ht="15.5" x14ac:dyDescent="0.35">
      <c r="A1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Resistor_8.2M_1_0603</v>
      </c>
      <c r="B168" s="8" t="str">
        <f>CONCATENATE("Резистор номиналом ",Таблица6[[#This Row],[Value]],"Ом и точностью ",Таблица6[[#This Row],[Tolerance]]*100," %")</f>
        <v>Резистор номиналом 8,2 МОм и точностью 1 %</v>
      </c>
      <c r="C168" s="3" t="s">
        <v>26</v>
      </c>
      <c r="D168" s="3" t="s">
        <v>29</v>
      </c>
      <c r="E168" s="3" t="s">
        <v>26</v>
      </c>
      <c r="F168" s="7" t="str">
        <f t="shared" si="4"/>
        <v>8,2 М</v>
      </c>
      <c r="G168" s="4">
        <v>0.01</v>
      </c>
      <c r="H168" s="3" t="s">
        <v>132</v>
      </c>
      <c r="I168" s="3" t="s">
        <v>32</v>
      </c>
    </row>
    <row r="169" spans="1:9" ht="15.5" x14ac:dyDescent="0.35">
      <c r="A1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Resistor_9.1M_1_0603</v>
      </c>
      <c r="B169" s="8" t="str">
        <f>CONCATENATE("Резистор номиналом ",Таблица6[[#This Row],[Value]],"Ом и точностью ",Таблица6[[#This Row],[Tolerance]]*100," %")</f>
        <v>Резистор номиналом 9,1 МОм и точностью 1 %</v>
      </c>
      <c r="C169" s="3" t="s">
        <v>26</v>
      </c>
      <c r="D169" s="3" t="s">
        <v>29</v>
      </c>
      <c r="E169" s="3" t="s">
        <v>26</v>
      </c>
      <c r="F169" s="7" t="str">
        <f t="shared" si="4"/>
        <v>9,1 М</v>
      </c>
      <c r="G169" s="4">
        <v>0.01</v>
      </c>
      <c r="H169" s="3" t="s">
        <v>132</v>
      </c>
      <c r="I169" s="3" t="s">
        <v>32</v>
      </c>
    </row>
    <row r="170" spans="1:9" ht="15.5" x14ac:dyDescent="0.35">
      <c r="A1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Resistor_10M_1_0603</v>
      </c>
      <c r="B170" s="8" t="str">
        <f>CONCATENATE("Резистор номиналом ",Таблица6[[#This Row],[Value]],"Ом и точностью ",Таблица6[[#This Row],[Tolerance]]*100," %")</f>
        <v>Резистор номиналом 10 МОм и точностью 1 %</v>
      </c>
      <c r="C170" s="3" t="s">
        <v>26</v>
      </c>
      <c r="D170" s="3" t="s">
        <v>29</v>
      </c>
      <c r="E170" s="3" t="s">
        <v>26</v>
      </c>
      <c r="F170" s="7" t="str">
        <f t="shared" si="4"/>
        <v>10 М</v>
      </c>
      <c r="G170" s="4">
        <v>0.01</v>
      </c>
      <c r="H170" s="3" t="s">
        <v>132</v>
      </c>
      <c r="I170" s="3" t="s">
        <v>32</v>
      </c>
    </row>
    <row r="171" spans="1:9" ht="15.5" x14ac:dyDescent="0.35">
      <c r="A1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Resistor_120_1_1206</v>
      </c>
      <c r="B171" s="8" t="str">
        <f>CONCATENATE("Резистор номиналом ",Таблица6[[#This Row],[Value]]," Ом и точностью ",Таблица6[[#This Row],[Tolerance]]*100," %")</f>
        <v>Резистор номиналом 120 Ом и точностью 1 %</v>
      </c>
      <c r="C171" s="3" t="s">
        <v>26</v>
      </c>
      <c r="D171" s="3" t="s">
        <v>29</v>
      </c>
      <c r="E171" s="3" t="s">
        <v>26</v>
      </c>
      <c r="F171" s="7">
        <v>120</v>
      </c>
      <c r="G171" s="4">
        <v>0.01</v>
      </c>
      <c r="H171" s="3" t="s">
        <v>192</v>
      </c>
      <c r="I171" s="3" t="s">
        <v>191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D3" sqref="D3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164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121</v>
      </c>
      <c r="I3" s="1" t="str">
        <f>CONCATENATE("Footprints\Capacitors\",J3,".PcbLib")</f>
        <v>Footprints\Capacitors\TC_B.PcbLib</v>
      </c>
      <c r="J3" s="1" t="s">
        <v>122</v>
      </c>
      <c r="K3" s="1" t="str">
        <f t="shared" ref="K3" si="0">CONCATENATE("Footprints\Capacitors\",L3,".PcbLib")</f>
        <v>Footprints\Capacitors\TC_C.PcbLib</v>
      </c>
      <c r="L3" s="1" t="s">
        <v>123</v>
      </c>
      <c r="M3" s="1" t="str">
        <f t="shared" ref="M3" si="1">CONCATENATE("Footprints\Capacitors\",N3,".PcbLib")</f>
        <v>Footprints\Capacitors\TC_D.PcbLib</v>
      </c>
      <c r="N3" s="1" t="s">
        <v>124</v>
      </c>
      <c r="O3" s="1" t="str">
        <f t="shared" ref="O3" si="2">CONCATENATE("Footprints\Capacitors\",P3,".PcbLib")</f>
        <v>Footprints\Capacitors\TC_E.PcbLib</v>
      </c>
      <c r="P3" s="1" t="s">
        <v>125</v>
      </c>
      <c r="Q3" s="1" t="str">
        <f t="shared" ref="Q3" si="3">CONCATENATE("Footprints\Capacitors\",R3,".PcbLib")</f>
        <v>Footprints\Capacitors\RADIAL-2_8mm.PcbLib</v>
      </c>
      <c r="R3" t="s">
        <v>129</v>
      </c>
      <c r="S3" s="1" t="s">
        <v>48</v>
      </c>
      <c r="T3" t="s">
        <v>130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8A57-730D-4E2C-8449-A38A4EB11756}">
  <sheetPr codeName="Лист10"/>
  <dimension ref="A1:L48"/>
  <sheetViews>
    <sheetView topLeftCell="A25" workbookViewId="0">
      <selection activeCell="H47" sqref="H47"/>
    </sheetView>
  </sheetViews>
  <sheetFormatPr defaultRowHeight="14.5" x14ac:dyDescent="0.35"/>
  <cols>
    <col min="1" max="1" width="34.81640625" customWidth="1"/>
    <col min="2" max="2" width="13.54296875" bestFit="1" customWidth="1"/>
    <col min="3" max="3" width="12.08984375" bestFit="1" customWidth="1"/>
    <col min="4" max="4" width="26.08984375" bestFit="1" customWidth="1"/>
    <col min="5" max="5" width="13" bestFit="1" customWidth="1"/>
    <col min="6" max="6" width="9" customWidth="1"/>
    <col min="7" max="7" width="10.54296875" customWidth="1"/>
    <col min="8" max="8" width="11.36328125" customWidth="1"/>
    <col min="9" max="9" width="9.453125" customWidth="1"/>
    <col min="10" max="10" width="33.6328125" bestFit="1" customWidth="1"/>
    <col min="11" max="11" width="16.81640625" bestFit="1" customWidth="1"/>
    <col min="12" max="12" width="12.17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3" t="s">
        <v>148</v>
      </c>
      <c r="H1" s="13" t="s">
        <v>159</v>
      </c>
      <c r="I1" s="13" t="s">
        <v>157</v>
      </c>
      <c r="J1" s="11" t="s">
        <v>12</v>
      </c>
      <c r="K1" s="11" t="s">
        <v>8</v>
      </c>
      <c r="L1" s="13" t="s">
        <v>160</v>
      </c>
    </row>
    <row r="2" spans="1:12" ht="15.5" x14ac:dyDescent="0.35">
      <c r="A2" s="22" t="str">
        <f>CONCATENATE("Capacitor_",IF(Таблица11[[#This Row],[Capacity (n)]]&lt;=0.1,CONCATENATE(L2*1000,"p"),IF(L2&gt;=100,CONCATENATE(L2/1000,"u"),CONCATENATE(L2,"n"))),"_",G2*100,"_",H2,"V_",I2,"_",K2)</f>
        <v>Capacitor_1n_10_50V_X7R_0603C</v>
      </c>
      <c r="B2" s="17" t="s">
        <v>28</v>
      </c>
      <c r="C2" s="17" t="s">
        <v>27</v>
      </c>
      <c r="D2" s="17" t="s">
        <v>30</v>
      </c>
      <c r="E2" s="17" t="s">
        <v>27</v>
      </c>
      <c r="F2" s="24" t="str">
        <f>IF(Таблица11[[#This Row],[Capacity (n)]]&lt;=0.1,CONCATENATE(L2*1000," п"),IF(L2&gt;=100,CONCATENATE(L2/1000," мк"),CONCATENATE(L2," н")))</f>
        <v>1 н</v>
      </c>
      <c r="G2" s="19">
        <v>0.1</v>
      </c>
      <c r="H2" s="16">
        <v>50</v>
      </c>
      <c r="I2" s="17" t="s">
        <v>158</v>
      </c>
      <c r="J2" s="17" t="str">
        <f>CONCATENATE("Footprints\Capacitors\",K2,".PcbLib")</f>
        <v>Footprints\Capacitors\0603C.PcbLib</v>
      </c>
      <c r="K2" s="17" t="s">
        <v>37</v>
      </c>
      <c r="L2" s="16">
        <v>1</v>
      </c>
    </row>
    <row r="3" spans="1:12" ht="15.5" x14ac:dyDescent="0.35">
      <c r="A3" s="22" t="str">
        <f>CONCATENATE("Capacitor_",IF(Таблица11[[#This Row],[Capacity (n)]]&lt;=0.1,CONCATENATE(L3*1000,"p"),IF(L3&gt;=100,CONCATENATE(L3/1000,"u"),CONCATENATE(L3,"n"))),"_",G3*100,"_",H3,"V_",I3,"_",K3)</f>
        <v>Capacitor_1,2n_10_50V_X7R_0603C</v>
      </c>
      <c r="B3" s="5" t="s">
        <v>28</v>
      </c>
      <c r="C3" s="5" t="s">
        <v>27</v>
      </c>
      <c r="D3" s="5" t="s">
        <v>30</v>
      </c>
      <c r="E3" s="5" t="s">
        <v>27</v>
      </c>
      <c r="F3" s="22" t="str">
        <f>IF(Таблица11[[#This Row],[Capacity (n)]]&lt;=0.1,CONCATENATE(L3*1000," п"),IF(L3&gt;=100,CONCATENATE(L3/1000," мк"),CONCATENATE(L3," н")))</f>
        <v>1,2 н</v>
      </c>
      <c r="G3" s="18">
        <v>0.1</v>
      </c>
      <c r="H3" s="12">
        <v>50</v>
      </c>
      <c r="I3" s="5" t="s">
        <v>158</v>
      </c>
      <c r="J3" s="5" t="str">
        <f t="shared" ref="J3:J38" si="0">CONCATENATE("Footprints\Capacitors\",K3,".PcbLib")</f>
        <v>Footprints\Capacitors\0603C.PcbLib</v>
      </c>
      <c r="K3" s="5" t="s">
        <v>37</v>
      </c>
      <c r="L3" s="12">
        <v>1.2</v>
      </c>
    </row>
    <row r="4" spans="1:12" ht="15.5" x14ac:dyDescent="0.35">
      <c r="A4" s="22" t="str">
        <f>CONCATENATE("Capacitor_",IF(Таблица11[[#This Row],[Capacity (n)]]&lt;=0.1,CONCATENATE(L4*1000,"p"),IF(L4&gt;=100,CONCATENATE(L4/1000,"u"),CONCATENATE(L4,"n"))),"_",G4*100,"_",H4,"V_",I4,"_",K4)</f>
        <v>Capacitor_1,5n_10_50V_X7R_0603C</v>
      </c>
      <c r="B4" s="5" t="s">
        <v>28</v>
      </c>
      <c r="C4" s="5" t="s">
        <v>27</v>
      </c>
      <c r="D4" s="5" t="s">
        <v>30</v>
      </c>
      <c r="E4" s="5" t="s">
        <v>27</v>
      </c>
      <c r="F4" s="22" t="str">
        <f>IF(Таблица11[[#This Row],[Capacity (n)]]&lt;=0.1,CONCATENATE(L4*1000," п"),IF(L4&gt;=100,CONCATENATE(L4/1000," мк"),CONCATENATE(L4," н")))</f>
        <v>1,5 н</v>
      </c>
      <c r="G4" s="18">
        <v>0.1</v>
      </c>
      <c r="H4" s="12">
        <v>50</v>
      </c>
      <c r="I4" s="5" t="s">
        <v>158</v>
      </c>
      <c r="J4" s="5" t="str">
        <f t="shared" si="0"/>
        <v>Footprints\Capacitors\0603C.PcbLib</v>
      </c>
      <c r="K4" s="5" t="s">
        <v>37</v>
      </c>
      <c r="L4" s="12">
        <v>1.5</v>
      </c>
    </row>
    <row r="5" spans="1:12" ht="15.5" x14ac:dyDescent="0.35">
      <c r="A5" s="22" t="str">
        <f>CONCATENATE("Capacitor_",IF(Таблица11[[#This Row],[Capacity (n)]]&lt;=0.1,CONCATENATE(L5*1000,"p"),IF(L5&gt;=100,CONCATENATE(L5/1000,"u"),CONCATENATE(L5,"n"))),"_",G5*100,"_",H5,"V_",I5,"_",K5)</f>
        <v>Capacitor_1,8n_10_50V_X7R_0603C</v>
      </c>
      <c r="B5" s="5" t="s">
        <v>28</v>
      </c>
      <c r="C5" s="5" t="s">
        <v>27</v>
      </c>
      <c r="D5" s="5" t="s">
        <v>30</v>
      </c>
      <c r="E5" s="5" t="s">
        <v>27</v>
      </c>
      <c r="F5" s="22" t="str">
        <f>IF(Таблица11[[#This Row],[Capacity (n)]]&lt;=0.1,CONCATENATE(L5*1000," п"),IF(L5&gt;=100,CONCATENATE(L5/1000," мк"),CONCATENATE(L5," н")))</f>
        <v>1,8 н</v>
      </c>
      <c r="G5" s="18">
        <v>0.1</v>
      </c>
      <c r="H5" s="12">
        <v>50</v>
      </c>
      <c r="I5" s="5" t="s">
        <v>158</v>
      </c>
      <c r="J5" s="5" t="str">
        <f t="shared" si="0"/>
        <v>Footprints\Capacitors\0603C.PcbLib</v>
      </c>
      <c r="K5" s="5" t="s">
        <v>37</v>
      </c>
      <c r="L5" s="12">
        <v>1.8</v>
      </c>
    </row>
    <row r="6" spans="1:12" ht="15.5" x14ac:dyDescent="0.35">
      <c r="A6" s="22" t="str">
        <f>CONCATENATE("Capacitor_",IF(Таблица11[[#This Row],[Capacity (n)]]&lt;=0.1,CONCATENATE(L6*1000,"p"),IF(L6&gt;=100,CONCATENATE(L6/1000,"u"),CONCATENATE(L6,"n"))),"_",G6*100,"_",H6,"V_",I6,"_",K6)</f>
        <v>Capacitor_2,2n_10_50V_X7R_0603C</v>
      </c>
      <c r="B6" s="5" t="s">
        <v>28</v>
      </c>
      <c r="C6" s="5" t="s">
        <v>27</v>
      </c>
      <c r="D6" s="5" t="s">
        <v>30</v>
      </c>
      <c r="E6" s="5" t="s">
        <v>27</v>
      </c>
      <c r="F6" s="22" t="str">
        <f>IF(Таблица11[[#This Row],[Capacity (n)]]&lt;=0.1,CONCATENATE(L6*1000," п"),IF(L6&gt;=100,CONCATENATE(L6/1000," мк"),CONCATENATE(L6," н")))</f>
        <v>2,2 н</v>
      </c>
      <c r="G6" s="18">
        <v>0.1</v>
      </c>
      <c r="H6" s="12">
        <v>50</v>
      </c>
      <c r="I6" s="5" t="s">
        <v>158</v>
      </c>
      <c r="J6" s="5" t="str">
        <f t="shared" si="0"/>
        <v>Footprints\Capacitors\0603C.PcbLib</v>
      </c>
      <c r="K6" s="5" t="s">
        <v>37</v>
      </c>
      <c r="L6" s="12">
        <v>2.2000000000000002</v>
      </c>
    </row>
    <row r="7" spans="1:12" ht="15.5" x14ac:dyDescent="0.35">
      <c r="A7" s="22" t="str">
        <f>CONCATENATE("Capacitor_",IF(Таблица11[[#This Row],[Capacity (n)]]&lt;=0.1,CONCATENATE(L7*1000,"p"),IF(L7&gt;=100,CONCATENATE(L7/1000,"u"),CONCATENATE(L7,"n"))),"_",G7*100,"_",H7,"V_",I7,"_",K7)</f>
        <v>Capacitor_2,7n_10_50V_X7R_0603C</v>
      </c>
      <c r="B7" s="5" t="s">
        <v>28</v>
      </c>
      <c r="C7" s="5" t="s">
        <v>27</v>
      </c>
      <c r="D7" s="5" t="s">
        <v>30</v>
      </c>
      <c r="E7" s="5" t="s">
        <v>27</v>
      </c>
      <c r="F7" s="22" t="str">
        <f>IF(Таблица11[[#This Row],[Capacity (n)]]&lt;=0.1,CONCATENATE(L7*1000," п"),IF(L7&gt;=100,CONCATENATE(L7/1000," мк"),CONCATENATE(L7," н")))</f>
        <v>2,7 н</v>
      </c>
      <c r="G7" s="18">
        <v>0.1</v>
      </c>
      <c r="H7" s="12">
        <v>50</v>
      </c>
      <c r="I7" s="5" t="s">
        <v>158</v>
      </c>
      <c r="J7" s="5" t="str">
        <f t="shared" si="0"/>
        <v>Footprints\Capacitors\0603C.PcbLib</v>
      </c>
      <c r="K7" s="5" t="s">
        <v>37</v>
      </c>
      <c r="L7" s="12">
        <v>2.7</v>
      </c>
    </row>
    <row r="8" spans="1:12" ht="15.5" x14ac:dyDescent="0.35">
      <c r="A8" s="22" t="str">
        <f>CONCATENATE("Capacitor_",IF(Таблица11[[#This Row],[Capacity (n)]]&lt;=0.1,CONCATENATE(L8*1000,"p"),IF(L8&gt;=100,CONCATENATE(L8/1000,"u"),CONCATENATE(L8,"n"))),"_",G8*100,"_",H8,"V_",I8,"_",K8)</f>
        <v>Capacitor_3,3n_10_50V_X7R_0603C</v>
      </c>
      <c r="B8" s="5" t="s">
        <v>28</v>
      </c>
      <c r="C8" s="5" t="s">
        <v>27</v>
      </c>
      <c r="D8" s="5" t="s">
        <v>30</v>
      </c>
      <c r="E8" s="5" t="s">
        <v>27</v>
      </c>
      <c r="F8" s="22" t="str">
        <f>IF(Таблица11[[#This Row],[Capacity (n)]]&lt;=0.1,CONCATENATE(L8*1000," п"),IF(L8&gt;=100,CONCATENATE(L8/1000," мк"),CONCATENATE(L8," н")))</f>
        <v>3,3 н</v>
      </c>
      <c r="G8" s="18">
        <v>0.1</v>
      </c>
      <c r="H8" s="12">
        <v>50</v>
      </c>
      <c r="I8" s="5" t="s">
        <v>158</v>
      </c>
      <c r="J8" s="5" t="str">
        <f t="shared" si="0"/>
        <v>Footprints\Capacitors\0603C.PcbLib</v>
      </c>
      <c r="K8" s="5" t="s">
        <v>37</v>
      </c>
      <c r="L8" s="12">
        <v>3.3</v>
      </c>
    </row>
    <row r="9" spans="1:12" ht="15.5" x14ac:dyDescent="0.35">
      <c r="A9" s="22" t="str">
        <f>CONCATENATE("Capacitor_",IF(Таблица11[[#This Row],[Capacity (n)]]&lt;=0.1,CONCATENATE(L9*1000,"p"),IF(L9&gt;=100,CONCATENATE(L9/1000,"u"),CONCATENATE(L9,"n"))),"_",G9*100,"_",H9,"V_",I9,"_",K9)</f>
        <v>Capacitor_3,9n_10_50V_X7R_0603C</v>
      </c>
      <c r="B9" s="5" t="s">
        <v>28</v>
      </c>
      <c r="C9" s="5" t="s">
        <v>27</v>
      </c>
      <c r="D9" s="5" t="s">
        <v>30</v>
      </c>
      <c r="E9" s="5" t="s">
        <v>27</v>
      </c>
      <c r="F9" s="22" t="str">
        <f>IF(Таблица11[[#This Row],[Capacity (n)]]&lt;=0.1,CONCATENATE(L9*1000," п"),IF(L9&gt;=100,CONCATENATE(L9/1000," мк"),CONCATENATE(L9," н")))</f>
        <v>3,9 н</v>
      </c>
      <c r="G9" s="18">
        <v>0.1</v>
      </c>
      <c r="H9" s="12">
        <v>50</v>
      </c>
      <c r="I9" s="5" t="s">
        <v>158</v>
      </c>
      <c r="J9" s="5" t="str">
        <f t="shared" si="0"/>
        <v>Footprints\Capacitors\0603C.PcbLib</v>
      </c>
      <c r="K9" s="5" t="s">
        <v>37</v>
      </c>
      <c r="L9" s="12">
        <v>3.9</v>
      </c>
    </row>
    <row r="10" spans="1:12" ht="15.5" x14ac:dyDescent="0.35">
      <c r="A10" s="22" t="str">
        <f>CONCATENATE("Capacitor_",IF(Таблица11[[#This Row],[Capacity (n)]]&lt;=0.1,CONCATENATE(L10*1000,"p"),IF(L10&gt;=100,CONCATENATE(L10/1000,"u"),CONCATENATE(L10,"n"))),"_",G10*100,"_",H10,"V_",I10,"_",K10)</f>
        <v>Capacitor_4,7n_10_50V_X7R_0603C</v>
      </c>
      <c r="B10" s="5" t="s">
        <v>28</v>
      </c>
      <c r="C10" s="5" t="s">
        <v>27</v>
      </c>
      <c r="D10" s="5" t="s">
        <v>30</v>
      </c>
      <c r="E10" s="5" t="s">
        <v>27</v>
      </c>
      <c r="F10" s="22" t="str">
        <f>IF(Таблица11[[#This Row],[Capacity (n)]]&lt;=0.1,CONCATENATE(L10*1000," п"),IF(L10&gt;=100,CONCATENATE(L10/1000," мк"),CONCATENATE(L10," н")))</f>
        <v>4,7 н</v>
      </c>
      <c r="G10" s="18">
        <v>0.1</v>
      </c>
      <c r="H10" s="12">
        <v>50</v>
      </c>
      <c r="I10" s="5" t="s">
        <v>158</v>
      </c>
      <c r="J10" s="5" t="str">
        <f t="shared" si="0"/>
        <v>Footprints\Capacitors\0603C.PcbLib</v>
      </c>
      <c r="K10" s="5" t="s">
        <v>37</v>
      </c>
      <c r="L10" s="12">
        <v>4.7</v>
      </c>
    </row>
    <row r="11" spans="1:12" ht="15.5" x14ac:dyDescent="0.35">
      <c r="A11" s="22" t="str">
        <f>CONCATENATE("Capacitor_",IF(Таблица11[[#This Row],[Capacity (n)]]&lt;=0.1,CONCATENATE(L11*1000,"p"),IF(L11&gt;=100,CONCATENATE(L11/1000,"u"),CONCATENATE(L11,"n"))),"_",G11*100,"_",H11,"V_",I11,"_",K11)</f>
        <v>Capacitor_5,6n_10_50V_X7R_0603C</v>
      </c>
      <c r="B11" s="5" t="s">
        <v>28</v>
      </c>
      <c r="C11" s="5" t="s">
        <v>27</v>
      </c>
      <c r="D11" s="5" t="s">
        <v>30</v>
      </c>
      <c r="E11" s="5" t="s">
        <v>27</v>
      </c>
      <c r="F11" s="22" t="str">
        <f>IF(Таблица11[[#This Row],[Capacity (n)]]&lt;=0.1,CONCATENATE(L11*1000," п"),IF(L11&gt;=100,CONCATENATE(L11/1000," мк"),CONCATENATE(L11," н")))</f>
        <v>5,6 н</v>
      </c>
      <c r="G11" s="18">
        <v>0.1</v>
      </c>
      <c r="H11" s="12">
        <v>50</v>
      </c>
      <c r="I11" s="5" t="s">
        <v>158</v>
      </c>
      <c r="J11" s="5" t="str">
        <f t="shared" si="0"/>
        <v>Footprints\Capacitors\0603C.PcbLib</v>
      </c>
      <c r="K11" s="5" t="s">
        <v>37</v>
      </c>
      <c r="L11" s="12">
        <v>5.6</v>
      </c>
    </row>
    <row r="12" spans="1:12" ht="15.5" x14ac:dyDescent="0.35">
      <c r="A12" s="22" t="str">
        <f>CONCATENATE("Capacitor_",IF(Таблица11[[#This Row],[Capacity (n)]]&lt;=0.1,CONCATENATE(L12*1000,"p"),IF(L12&gt;=100,CONCATENATE(L12/1000,"u"),CONCATENATE(L12,"n"))),"_",G12*100,"_",H12,"V_",I12,"_",K12)</f>
        <v>Capacitor_6,8n_10_50V_X7R_0603C</v>
      </c>
      <c r="B12" s="5" t="s">
        <v>28</v>
      </c>
      <c r="C12" s="5" t="s">
        <v>27</v>
      </c>
      <c r="D12" s="5" t="s">
        <v>30</v>
      </c>
      <c r="E12" s="5" t="s">
        <v>27</v>
      </c>
      <c r="F12" s="22" t="str">
        <f>IF(Таблица11[[#This Row],[Capacity (n)]]&lt;=0.1,CONCATENATE(L12*1000," п"),IF(L12&gt;=100,CONCATENATE(L12/1000," мк"),CONCATENATE(L12," н")))</f>
        <v>6,8 н</v>
      </c>
      <c r="G12" s="18">
        <v>0.1</v>
      </c>
      <c r="H12" s="12">
        <v>50</v>
      </c>
      <c r="I12" s="5" t="s">
        <v>158</v>
      </c>
      <c r="J12" s="5" t="str">
        <f t="shared" si="0"/>
        <v>Footprints\Capacitors\0603C.PcbLib</v>
      </c>
      <c r="K12" s="5" t="s">
        <v>37</v>
      </c>
      <c r="L12" s="12">
        <v>6.8</v>
      </c>
    </row>
    <row r="13" spans="1:12" ht="15.5" x14ac:dyDescent="0.35">
      <c r="A13" s="22" t="str">
        <f>CONCATENATE("Capacitor_",IF(Таблица11[[#This Row],[Capacity (n)]]&lt;=0.1,CONCATENATE(L13*1000,"p"),IF(L13&gt;=100,CONCATENATE(L13/1000,"u"),CONCATENATE(L13,"n"))),"_",G13*100,"_",H13,"V_",I13,"_",K13)</f>
        <v>Capacitor_8,2n_10_50V_X7R_0603C</v>
      </c>
      <c r="B13" s="5" t="s">
        <v>28</v>
      </c>
      <c r="C13" s="5" t="s">
        <v>27</v>
      </c>
      <c r="D13" s="5" t="s">
        <v>30</v>
      </c>
      <c r="E13" s="5" t="s">
        <v>27</v>
      </c>
      <c r="F13" s="22" t="str">
        <f>IF(Таблица11[[#This Row],[Capacity (n)]]&lt;=0.1,CONCATENATE(L13*1000," п"),IF(L13&gt;=100,CONCATENATE(L13/1000," мк"),CONCATENATE(L13," н")))</f>
        <v>8,2 н</v>
      </c>
      <c r="G13" s="18">
        <v>0.1</v>
      </c>
      <c r="H13" s="12">
        <v>50</v>
      </c>
      <c r="I13" s="5" t="s">
        <v>158</v>
      </c>
      <c r="J13" s="5" t="str">
        <f t="shared" si="0"/>
        <v>Footprints\Capacitors\0603C.PcbLib</v>
      </c>
      <c r="K13" s="5" t="s">
        <v>37</v>
      </c>
      <c r="L13" s="12">
        <v>8.1999999999999993</v>
      </c>
    </row>
    <row r="14" spans="1:12" ht="15.5" x14ac:dyDescent="0.35">
      <c r="A14" s="22" t="str">
        <f>CONCATENATE("Capacitor_",IF(Таблица11[[#This Row],[Capacity (n)]]&lt;=0.1,CONCATENATE(L14*1000,"p"),IF(L14&gt;=100,CONCATENATE(L14/1000,"u"),CONCATENATE(L14,"n"))),"_",G14*100,"_",H14,"V_",I14,"_",K14)</f>
        <v>Capacitor_10n_10_50V_X7R_0603C</v>
      </c>
      <c r="B14" s="5" t="s">
        <v>28</v>
      </c>
      <c r="C14" s="5" t="s">
        <v>27</v>
      </c>
      <c r="D14" s="5" t="s">
        <v>30</v>
      </c>
      <c r="E14" s="5" t="s">
        <v>27</v>
      </c>
      <c r="F14" s="22" t="str">
        <f>IF(Таблица11[[#This Row],[Capacity (n)]]&lt;=0.1,CONCATENATE(L14*1000," п"),IF(L14&gt;=100,CONCATENATE(L14/1000," мк"),CONCATENATE(L14," н")))</f>
        <v>10 н</v>
      </c>
      <c r="G14" s="18">
        <v>0.1</v>
      </c>
      <c r="H14" s="12">
        <v>50</v>
      </c>
      <c r="I14" s="5" t="s">
        <v>158</v>
      </c>
      <c r="J14" s="5" t="str">
        <f t="shared" si="0"/>
        <v>Footprints\Capacitors\0603C.PcbLib</v>
      </c>
      <c r="K14" s="5" t="s">
        <v>37</v>
      </c>
      <c r="L14" s="12">
        <f t="shared" ref="L14:L46" si="1">L2*10</f>
        <v>10</v>
      </c>
    </row>
    <row r="15" spans="1:12" ht="15.5" x14ac:dyDescent="0.35">
      <c r="A15" s="22" t="str">
        <f>CONCATENATE("Capacitor_",IF(Таблица11[[#This Row],[Capacity (n)]]&lt;=0.1,CONCATENATE(L15*1000,"p"),IF(L15&gt;=100,CONCATENATE(L15/1000,"u"),CONCATENATE(L15,"n"))),"_",G15*100,"_",H15,"V_",I15,"_",K15)</f>
        <v>Capacitor_12n_10_50V_X7R_0603C</v>
      </c>
      <c r="B15" s="5" t="s">
        <v>28</v>
      </c>
      <c r="C15" s="5" t="s">
        <v>27</v>
      </c>
      <c r="D15" s="5" t="s">
        <v>30</v>
      </c>
      <c r="E15" s="5" t="s">
        <v>27</v>
      </c>
      <c r="F15" s="22" t="str">
        <f>IF(Таблица11[[#This Row],[Capacity (n)]]&lt;=0.1,CONCATENATE(L15*1000," п"),IF(L15&gt;=100,CONCATENATE(L15/1000," мк"),CONCATENATE(L15," н")))</f>
        <v>12 н</v>
      </c>
      <c r="G15" s="18">
        <v>0.1</v>
      </c>
      <c r="H15" s="12">
        <v>50</v>
      </c>
      <c r="I15" s="5" t="s">
        <v>158</v>
      </c>
      <c r="J15" s="5" t="str">
        <f t="shared" si="0"/>
        <v>Footprints\Capacitors\0603C.PcbLib</v>
      </c>
      <c r="K15" s="5" t="s">
        <v>37</v>
      </c>
      <c r="L15" s="12">
        <f t="shared" si="1"/>
        <v>12</v>
      </c>
    </row>
    <row r="16" spans="1:12" ht="15.5" x14ac:dyDescent="0.35">
      <c r="A16" s="22" t="str">
        <f>CONCATENATE("Capacitor_",IF(Таблица11[[#This Row],[Capacity (n)]]&lt;=0.1,CONCATENATE(L16*1000,"p"),IF(L16&gt;=100,CONCATENATE(L16/1000,"u"),CONCATENATE(L16,"n"))),"_",G16*100,"_",H16,"V_",I16,"_",K16)</f>
        <v>Capacitor_15n_10_50V_X7R_0603C</v>
      </c>
      <c r="B16" s="5" t="s">
        <v>28</v>
      </c>
      <c r="C16" s="5" t="s">
        <v>27</v>
      </c>
      <c r="D16" s="5" t="s">
        <v>30</v>
      </c>
      <c r="E16" s="5" t="s">
        <v>27</v>
      </c>
      <c r="F16" s="22" t="str">
        <f>IF(Таблица11[[#This Row],[Capacity (n)]]&lt;=0.1,CONCATENATE(L16*1000," п"),IF(L16&gt;=100,CONCATENATE(L16/1000," мк"),CONCATENATE(L16," н")))</f>
        <v>15 н</v>
      </c>
      <c r="G16" s="18">
        <v>0.1</v>
      </c>
      <c r="H16" s="12">
        <v>50</v>
      </c>
      <c r="I16" s="5" t="s">
        <v>158</v>
      </c>
      <c r="J16" s="5" t="str">
        <f t="shared" si="0"/>
        <v>Footprints\Capacitors\0603C.PcbLib</v>
      </c>
      <c r="K16" s="5" t="s">
        <v>37</v>
      </c>
      <c r="L16" s="12">
        <f t="shared" si="1"/>
        <v>15</v>
      </c>
    </row>
    <row r="17" spans="1:12" ht="15.5" x14ac:dyDescent="0.35">
      <c r="A17" s="22" t="str">
        <f>CONCATENATE("Capacitor_",IF(Таблица11[[#This Row],[Capacity (n)]]&lt;=0.1,CONCATENATE(L17*1000,"p"),IF(L17&gt;=100,CONCATENATE(L17/1000,"u"),CONCATENATE(L17,"n"))),"_",G17*100,"_",H17,"V_",I17,"_",K17)</f>
        <v>Capacitor_18n_10_50V_X7R_0603C</v>
      </c>
      <c r="B17" s="5" t="s">
        <v>28</v>
      </c>
      <c r="C17" s="5" t="s">
        <v>27</v>
      </c>
      <c r="D17" s="5" t="s">
        <v>30</v>
      </c>
      <c r="E17" s="5" t="s">
        <v>27</v>
      </c>
      <c r="F17" s="22" t="str">
        <f>IF(Таблица11[[#This Row],[Capacity (n)]]&lt;=0.1,CONCATENATE(L17*1000," п"),IF(L17&gt;=100,CONCATENATE(L17/1000," мк"),CONCATENATE(L17," н")))</f>
        <v>18 н</v>
      </c>
      <c r="G17" s="18">
        <v>0.1</v>
      </c>
      <c r="H17" s="12">
        <v>50</v>
      </c>
      <c r="I17" s="5" t="s">
        <v>158</v>
      </c>
      <c r="J17" s="5" t="str">
        <f t="shared" si="0"/>
        <v>Footprints\Capacitors\0603C.PcbLib</v>
      </c>
      <c r="K17" s="5" t="s">
        <v>37</v>
      </c>
      <c r="L17" s="12">
        <f t="shared" si="1"/>
        <v>18</v>
      </c>
    </row>
    <row r="18" spans="1:12" ht="15.5" x14ac:dyDescent="0.35">
      <c r="A18" s="22" t="str">
        <f>CONCATENATE("Capacitor_",IF(Таблица11[[#This Row],[Capacity (n)]]&lt;=0.1,CONCATENATE(L18*1000,"p"),IF(L18&gt;=100,CONCATENATE(L18/1000,"u"),CONCATENATE(L18,"n"))),"_",G18*100,"_",H18,"V_",I18,"_",K18)</f>
        <v>Capacitor_22n_10_50V_X7R_0603C</v>
      </c>
      <c r="B18" s="5" t="s">
        <v>28</v>
      </c>
      <c r="C18" s="5" t="s">
        <v>27</v>
      </c>
      <c r="D18" s="5" t="s">
        <v>30</v>
      </c>
      <c r="E18" s="5" t="s">
        <v>27</v>
      </c>
      <c r="F18" s="22" t="str">
        <f>IF(Таблица11[[#This Row],[Capacity (n)]]&lt;=0.1,CONCATENATE(L18*1000," п"),IF(L18&gt;=100,CONCATENATE(L18/1000," мк"),CONCATENATE(L18," н")))</f>
        <v>22 н</v>
      </c>
      <c r="G18" s="18">
        <v>0.1</v>
      </c>
      <c r="H18" s="12">
        <v>50</v>
      </c>
      <c r="I18" s="5" t="s">
        <v>158</v>
      </c>
      <c r="J18" s="5" t="str">
        <f t="shared" si="0"/>
        <v>Footprints\Capacitors\0603C.PcbLib</v>
      </c>
      <c r="K18" s="5" t="s">
        <v>37</v>
      </c>
      <c r="L18" s="12">
        <f t="shared" si="1"/>
        <v>22</v>
      </c>
    </row>
    <row r="19" spans="1:12" ht="15.5" x14ac:dyDescent="0.35">
      <c r="A19" s="22" t="str">
        <f>CONCATENATE("Capacitor_",IF(Таблица11[[#This Row],[Capacity (n)]]&lt;=0.1,CONCATENATE(L19*1000,"p"),IF(L19&gt;=100,CONCATENATE(L19/1000,"u"),CONCATENATE(L19,"n"))),"_",G19*100,"_",H19,"V_",I19,"_",K19)</f>
        <v>Capacitor_27n_10_50V_X7R_0603C</v>
      </c>
      <c r="B19" s="5" t="s">
        <v>28</v>
      </c>
      <c r="C19" s="5" t="s">
        <v>27</v>
      </c>
      <c r="D19" s="5" t="s">
        <v>30</v>
      </c>
      <c r="E19" s="5" t="s">
        <v>27</v>
      </c>
      <c r="F19" s="22" t="str">
        <f>IF(Таблица11[[#This Row],[Capacity (n)]]&lt;=0.1,CONCATENATE(L19*1000," п"),IF(L19&gt;=100,CONCATENATE(L19/1000," мк"),CONCATENATE(L19," н")))</f>
        <v>27 н</v>
      </c>
      <c r="G19" s="18">
        <v>0.1</v>
      </c>
      <c r="H19" s="12">
        <v>50</v>
      </c>
      <c r="I19" s="5" t="s">
        <v>158</v>
      </c>
      <c r="J19" s="5" t="str">
        <f t="shared" si="0"/>
        <v>Footprints\Capacitors\0603C.PcbLib</v>
      </c>
      <c r="K19" s="5" t="s">
        <v>37</v>
      </c>
      <c r="L19" s="12">
        <f t="shared" si="1"/>
        <v>27</v>
      </c>
    </row>
    <row r="20" spans="1:12" ht="15.5" x14ac:dyDescent="0.35">
      <c r="A20" s="22" t="str">
        <f>CONCATENATE("Capacitor_",IF(Таблица11[[#This Row],[Capacity (n)]]&lt;=0.1,CONCATENATE(L20*1000,"p"),IF(L20&gt;=100,CONCATENATE(L20/1000,"u"),CONCATENATE(L20,"n"))),"_",G20*100,"_",H20,"V_",I20,"_",K20)</f>
        <v>Capacitor_33n_10_50V_X7R_0603C</v>
      </c>
      <c r="B20" s="5" t="s">
        <v>28</v>
      </c>
      <c r="C20" s="5" t="s">
        <v>27</v>
      </c>
      <c r="D20" s="5" t="s">
        <v>30</v>
      </c>
      <c r="E20" s="5" t="s">
        <v>27</v>
      </c>
      <c r="F20" s="22" t="str">
        <f>IF(Таблица11[[#This Row],[Capacity (n)]]&lt;=0.1,CONCATENATE(L20*1000," п"),IF(L20&gt;=100,CONCATENATE(L20/1000," мк"),CONCATENATE(L20," н")))</f>
        <v>33 н</v>
      </c>
      <c r="G20" s="18">
        <v>0.1</v>
      </c>
      <c r="H20" s="12">
        <v>50</v>
      </c>
      <c r="I20" s="5" t="s">
        <v>158</v>
      </c>
      <c r="J20" s="5" t="str">
        <f t="shared" si="0"/>
        <v>Footprints\Capacitors\0603C.PcbLib</v>
      </c>
      <c r="K20" s="5" t="s">
        <v>37</v>
      </c>
      <c r="L20" s="12">
        <f t="shared" si="1"/>
        <v>33</v>
      </c>
    </row>
    <row r="21" spans="1:12" ht="15.5" x14ac:dyDescent="0.35">
      <c r="A21" s="22" t="str">
        <f>CONCATENATE("Capacitor_",IF(Таблица11[[#This Row],[Capacity (n)]]&lt;=0.1,CONCATENATE(L21*1000,"p"),IF(L21&gt;=100,CONCATENATE(L21/1000,"u"),CONCATENATE(L21,"n"))),"_",G21*100,"_",H21,"V_",I21,"_",K21)</f>
        <v>Capacitor_39n_10_50V_X7R_0603C</v>
      </c>
      <c r="B21" s="5" t="s">
        <v>28</v>
      </c>
      <c r="C21" s="5" t="s">
        <v>27</v>
      </c>
      <c r="D21" s="5" t="s">
        <v>30</v>
      </c>
      <c r="E21" s="5" t="s">
        <v>27</v>
      </c>
      <c r="F21" s="22" t="str">
        <f>IF(Таблица11[[#This Row],[Capacity (n)]]&lt;=0.1,CONCATENATE(L21*1000," п"),IF(L21&gt;=100,CONCATENATE(L21/1000," мк"),CONCATENATE(L21," н")))</f>
        <v>39 н</v>
      </c>
      <c r="G21" s="18">
        <v>0.1</v>
      </c>
      <c r="H21" s="12">
        <v>50</v>
      </c>
      <c r="I21" s="5" t="s">
        <v>158</v>
      </c>
      <c r="J21" s="5" t="str">
        <f t="shared" si="0"/>
        <v>Footprints\Capacitors\0603C.PcbLib</v>
      </c>
      <c r="K21" s="5" t="s">
        <v>37</v>
      </c>
      <c r="L21" s="12">
        <f t="shared" si="1"/>
        <v>39</v>
      </c>
    </row>
    <row r="22" spans="1:12" ht="15.5" x14ac:dyDescent="0.35">
      <c r="A22" s="22" t="str">
        <f>CONCATENATE("Capacitor_",IF(Таблица11[[#This Row],[Capacity (n)]]&lt;=0.1,CONCATENATE(L22*1000,"p"),IF(L22&gt;=100,CONCATENATE(L22/1000,"u"),CONCATENATE(L22,"n"))),"_",G22*100,"_",H22,"V_",I22,"_",K22)</f>
        <v>Capacitor_47n_10_50V_X7R_0603C</v>
      </c>
      <c r="B22" s="5" t="s">
        <v>28</v>
      </c>
      <c r="C22" s="5" t="s">
        <v>27</v>
      </c>
      <c r="D22" s="5" t="s">
        <v>30</v>
      </c>
      <c r="E22" s="5" t="s">
        <v>27</v>
      </c>
      <c r="F22" s="22" t="str">
        <f>IF(Таблица11[[#This Row],[Capacity (n)]]&lt;=0.1,CONCATENATE(L22*1000," п"),IF(L22&gt;=100,CONCATENATE(L22/1000," мк"),CONCATENATE(L22," н")))</f>
        <v>47 н</v>
      </c>
      <c r="G22" s="18">
        <v>0.1</v>
      </c>
      <c r="H22" s="12">
        <v>50</v>
      </c>
      <c r="I22" s="5" t="s">
        <v>158</v>
      </c>
      <c r="J22" s="5" t="str">
        <f t="shared" si="0"/>
        <v>Footprints\Capacitors\0603C.PcbLib</v>
      </c>
      <c r="K22" s="5" t="s">
        <v>37</v>
      </c>
      <c r="L22" s="12">
        <f t="shared" si="1"/>
        <v>47</v>
      </c>
    </row>
    <row r="23" spans="1:12" ht="15.5" x14ac:dyDescent="0.35">
      <c r="A23" s="22" t="str">
        <f>CONCATENATE("Capacitor_",IF(Таблица11[[#This Row],[Capacity (n)]]&lt;=0.1,CONCATENATE(L23*1000,"p"),IF(L23&gt;=100,CONCATENATE(L23/1000,"u"),CONCATENATE(L23,"n"))),"_",G23*100,"_",H23,"V_",I23,"_",K23)</f>
        <v>Capacitor_56n_10_50V_X7R_0603C</v>
      </c>
      <c r="B23" s="5" t="s">
        <v>28</v>
      </c>
      <c r="C23" s="5" t="s">
        <v>27</v>
      </c>
      <c r="D23" s="5" t="s">
        <v>30</v>
      </c>
      <c r="E23" s="5" t="s">
        <v>27</v>
      </c>
      <c r="F23" s="22" t="str">
        <f>IF(Таблица11[[#This Row],[Capacity (n)]]&lt;=0.1,CONCATENATE(L23*1000," п"),IF(L23&gt;=100,CONCATENATE(L23/1000," мк"),CONCATENATE(L23," н")))</f>
        <v>56 н</v>
      </c>
      <c r="G23" s="18">
        <v>0.1</v>
      </c>
      <c r="H23" s="12">
        <v>50</v>
      </c>
      <c r="I23" s="5" t="s">
        <v>158</v>
      </c>
      <c r="J23" s="5" t="str">
        <f t="shared" si="0"/>
        <v>Footprints\Capacitors\0603C.PcbLib</v>
      </c>
      <c r="K23" s="5" t="s">
        <v>37</v>
      </c>
      <c r="L23" s="12">
        <f t="shared" si="1"/>
        <v>56</v>
      </c>
    </row>
    <row r="24" spans="1:12" ht="15.5" x14ac:dyDescent="0.35">
      <c r="A24" s="22" t="str">
        <f>CONCATENATE("Capacitor_",IF(Таблица11[[#This Row],[Capacity (n)]]&lt;=0.1,CONCATENATE(L24*1000,"p"),IF(L24&gt;=100,CONCATENATE(L24/1000,"u"),CONCATENATE(L24,"n"))),"_",G24*100,"_",H24,"V_",I24,"_",K24)</f>
        <v>Capacitor_68n_10_50V_X7R_0603C</v>
      </c>
      <c r="B24" s="5" t="s">
        <v>28</v>
      </c>
      <c r="C24" s="5" t="s">
        <v>27</v>
      </c>
      <c r="D24" s="5" t="s">
        <v>30</v>
      </c>
      <c r="E24" s="5" t="s">
        <v>27</v>
      </c>
      <c r="F24" s="22" t="str">
        <f>IF(Таблица11[[#This Row],[Capacity (n)]]&lt;=0.1,CONCATENATE(L24*1000," п"),IF(L24&gt;=100,CONCATENATE(L24/1000," мк"),CONCATENATE(L24," н")))</f>
        <v>68 н</v>
      </c>
      <c r="G24" s="18">
        <v>0.1</v>
      </c>
      <c r="H24" s="12">
        <v>50</v>
      </c>
      <c r="I24" s="5" t="s">
        <v>158</v>
      </c>
      <c r="J24" s="5" t="str">
        <f t="shared" si="0"/>
        <v>Footprints\Capacitors\0603C.PcbLib</v>
      </c>
      <c r="K24" s="5" t="s">
        <v>37</v>
      </c>
      <c r="L24" s="12">
        <f t="shared" si="1"/>
        <v>68</v>
      </c>
    </row>
    <row r="25" spans="1:12" ht="15.5" x14ac:dyDescent="0.35">
      <c r="A25" s="22" t="str">
        <f>CONCATENATE("Capacitor_",IF(Таблица11[[#This Row],[Capacity (n)]]&lt;=0.1,CONCATENATE(L25*1000,"p"),IF(L25&gt;=100,CONCATENATE(L25/1000,"u"),CONCATENATE(L25,"n"))),"_",G25*100,"_",H25,"V_",I25,"_",K25)</f>
        <v>Capacitor_82n_10_50V_X7R_0603C</v>
      </c>
      <c r="B25" s="5" t="s">
        <v>28</v>
      </c>
      <c r="C25" s="5" t="s">
        <v>27</v>
      </c>
      <c r="D25" s="5" t="s">
        <v>30</v>
      </c>
      <c r="E25" s="5" t="s">
        <v>27</v>
      </c>
      <c r="F25" s="22" t="str">
        <f>IF(Таблица11[[#This Row],[Capacity (n)]]&lt;=0.1,CONCATENATE(L25*1000," п"),IF(L25&gt;=100,CONCATENATE(L25/1000," мк"),CONCATENATE(L25," н")))</f>
        <v>82 н</v>
      </c>
      <c r="G25" s="18">
        <v>0.1</v>
      </c>
      <c r="H25" s="12">
        <v>50</v>
      </c>
      <c r="I25" s="5" t="s">
        <v>158</v>
      </c>
      <c r="J25" s="5" t="str">
        <f t="shared" si="0"/>
        <v>Footprints\Capacitors\0603C.PcbLib</v>
      </c>
      <c r="K25" s="5" t="s">
        <v>37</v>
      </c>
      <c r="L25" s="12">
        <f t="shared" si="1"/>
        <v>82</v>
      </c>
    </row>
    <row r="26" spans="1:12" ht="15.5" x14ac:dyDescent="0.35">
      <c r="A26" s="22" t="str">
        <f>CONCATENATE("Capacitor_",IF(Таблица11[[#This Row],[Capacity (n)]]&lt;=0.1,CONCATENATE(L26*1000,"p"),IF(L26&gt;=100,CONCATENATE(L26/1000,"u"),CONCATENATE(L26,"n"))),"_",G26*100,"_",H26,"V_",I26,"_",K26)</f>
        <v>Capacitor_0,1u_10_50V_X7R_0603C</v>
      </c>
      <c r="B26" s="5" t="s">
        <v>28</v>
      </c>
      <c r="C26" s="5" t="s">
        <v>27</v>
      </c>
      <c r="D26" s="5" t="s">
        <v>30</v>
      </c>
      <c r="E26" s="5" t="s">
        <v>27</v>
      </c>
      <c r="F26" s="22" t="str">
        <f>IF(Таблица11[[#This Row],[Capacity (n)]]&lt;=0.1,CONCATENATE(L26*1000," п"),IF(L26&gt;=100,CONCATENATE(L26/1000," мк"),CONCATENATE(L26," н")))</f>
        <v>0,1 мк</v>
      </c>
      <c r="G26" s="18">
        <v>0.1</v>
      </c>
      <c r="H26" s="12">
        <v>50</v>
      </c>
      <c r="I26" s="5" t="s">
        <v>158</v>
      </c>
      <c r="J26" s="5" t="str">
        <f t="shared" si="0"/>
        <v>Footprints\Capacitors\0603C.PcbLib</v>
      </c>
      <c r="K26" s="5" t="s">
        <v>37</v>
      </c>
      <c r="L26" s="12">
        <f t="shared" si="1"/>
        <v>100</v>
      </c>
    </row>
    <row r="27" spans="1:12" ht="15.5" x14ac:dyDescent="0.35">
      <c r="A27" s="22" t="str">
        <f>CONCATENATE("Capacitor_",IF(Таблица11[[#This Row],[Capacity (n)]]&lt;=0.1,CONCATENATE(L27*1000,"p"),IF(L27&gt;=100,CONCATENATE(L27/1000,"u"),CONCATENATE(L27,"n"))),"_",G27*100,"_",H27,"V_",I27,"_",K27)</f>
        <v>Capacitor_0,12u_10_50V_X7R_0603C</v>
      </c>
      <c r="B27" s="5" t="s">
        <v>28</v>
      </c>
      <c r="C27" s="5" t="s">
        <v>27</v>
      </c>
      <c r="D27" s="5" t="s">
        <v>30</v>
      </c>
      <c r="E27" s="5" t="s">
        <v>27</v>
      </c>
      <c r="F27" s="22" t="str">
        <f>IF(Таблица11[[#This Row],[Capacity (n)]]&lt;=0.1,CONCATENATE(L27*1000," п"),IF(L27&gt;=100,CONCATENATE(L27/1000," мк"),CONCATENATE(L27," н")))</f>
        <v>0,12 мк</v>
      </c>
      <c r="G27" s="18">
        <v>0.1</v>
      </c>
      <c r="H27" s="12">
        <v>50</v>
      </c>
      <c r="I27" s="5" t="s">
        <v>158</v>
      </c>
      <c r="J27" s="5" t="str">
        <f t="shared" si="0"/>
        <v>Footprints\Capacitors\0603C.PcbLib</v>
      </c>
      <c r="K27" s="5" t="s">
        <v>37</v>
      </c>
      <c r="L27" s="12">
        <f t="shared" si="1"/>
        <v>120</v>
      </c>
    </row>
    <row r="28" spans="1:12" ht="15.5" x14ac:dyDescent="0.35">
      <c r="A28" s="22" t="str">
        <f>CONCATENATE("Capacitor_",IF(Таблица11[[#This Row],[Capacity (n)]]&lt;=0.1,CONCATENATE(L28*1000,"p"),IF(L28&gt;=100,CONCATENATE(L28/1000,"u"),CONCATENATE(L28,"n"))),"_",G28*100,"_",H28,"V_",I28,"_",K28)</f>
        <v>Capacitor_0,15u_10_50V_X7R_0603C</v>
      </c>
      <c r="B28" s="5" t="s">
        <v>28</v>
      </c>
      <c r="C28" s="5" t="s">
        <v>27</v>
      </c>
      <c r="D28" s="5" t="s">
        <v>30</v>
      </c>
      <c r="E28" s="5" t="s">
        <v>27</v>
      </c>
      <c r="F28" s="22" t="str">
        <f>IF(Таблица11[[#This Row],[Capacity (n)]]&lt;=0.1,CONCATENATE(L28*1000," п"),IF(L28&gt;=100,CONCATENATE(L28/1000," мк"),CONCATENATE(L28," н")))</f>
        <v>0,15 мк</v>
      </c>
      <c r="G28" s="18">
        <v>0.1</v>
      </c>
      <c r="H28" s="12">
        <v>50</v>
      </c>
      <c r="I28" s="5" t="s">
        <v>158</v>
      </c>
      <c r="J28" s="5" t="str">
        <f t="shared" si="0"/>
        <v>Footprints\Capacitors\0603C.PcbLib</v>
      </c>
      <c r="K28" s="5" t="s">
        <v>37</v>
      </c>
      <c r="L28" s="12">
        <f t="shared" si="1"/>
        <v>150</v>
      </c>
    </row>
    <row r="29" spans="1:12" ht="15.5" x14ac:dyDescent="0.35">
      <c r="A29" s="22" t="str">
        <f>CONCATENATE("Capacitor_",IF(Таблица11[[#This Row],[Capacity (n)]]&lt;=0.1,CONCATENATE(L29*1000,"p"),IF(L29&gt;=100,CONCATENATE(L29/1000,"u"),CONCATENATE(L29,"n"))),"_",G29*100,"_",H29,"V_",I29,"_",K29)</f>
        <v>Capacitor_0,18u_10_50V_X7R_0603C</v>
      </c>
      <c r="B29" s="5" t="s">
        <v>28</v>
      </c>
      <c r="C29" s="5" t="s">
        <v>27</v>
      </c>
      <c r="D29" s="5" t="s">
        <v>30</v>
      </c>
      <c r="E29" s="5" t="s">
        <v>27</v>
      </c>
      <c r="F29" s="22" t="str">
        <f>IF(Таблица11[[#This Row],[Capacity (n)]]&lt;=0.1,CONCATENATE(L29*1000," п"),IF(L29&gt;=100,CONCATENATE(L29/1000," мк"),CONCATENATE(L29," н")))</f>
        <v>0,18 мк</v>
      </c>
      <c r="G29" s="18">
        <v>0.1</v>
      </c>
      <c r="H29" s="12">
        <v>50</v>
      </c>
      <c r="I29" s="5" t="s">
        <v>158</v>
      </c>
      <c r="J29" s="5" t="str">
        <f t="shared" si="0"/>
        <v>Footprints\Capacitors\0603C.PcbLib</v>
      </c>
      <c r="K29" s="5" t="s">
        <v>37</v>
      </c>
      <c r="L29" s="12">
        <f t="shared" si="1"/>
        <v>180</v>
      </c>
    </row>
    <row r="30" spans="1:12" ht="15.5" x14ac:dyDescent="0.35">
      <c r="A30" s="22" t="str">
        <f>CONCATENATE("Capacitor_",IF(Таблица11[[#This Row],[Capacity (n)]]&lt;=0.1,CONCATENATE(L30*1000,"p"),IF(L30&gt;=100,CONCATENATE(L30/1000,"u"),CONCATENATE(L30,"n"))),"_",G30*100,"_",H30,"V_",I30,"_",K30)</f>
        <v>Capacitor_0,22u_10_50V_X7R_0603C</v>
      </c>
      <c r="B30" s="5" t="s">
        <v>28</v>
      </c>
      <c r="C30" s="5" t="s">
        <v>27</v>
      </c>
      <c r="D30" s="5" t="s">
        <v>30</v>
      </c>
      <c r="E30" s="5" t="s">
        <v>27</v>
      </c>
      <c r="F30" s="22" t="str">
        <f>IF(Таблица11[[#This Row],[Capacity (n)]]&lt;=0.1,CONCATENATE(L30*1000," п"),IF(L30&gt;=100,CONCATENATE(L30/1000," мк"),CONCATENATE(L30," н")))</f>
        <v>0,22 мк</v>
      </c>
      <c r="G30" s="18">
        <v>0.1</v>
      </c>
      <c r="H30" s="12">
        <v>50</v>
      </c>
      <c r="I30" s="5" t="s">
        <v>158</v>
      </c>
      <c r="J30" s="5" t="str">
        <f t="shared" si="0"/>
        <v>Footprints\Capacitors\0603C.PcbLib</v>
      </c>
      <c r="K30" s="5" t="s">
        <v>37</v>
      </c>
      <c r="L30" s="12">
        <f t="shared" si="1"/>
        <v>220</v>
      </c>
    </row>
    <row r="31" spans="1:12" ht="15.5" x14ac:dyDescent="0.35">
      <c r="A31" s="22" t="str">
        <f>CONCATENATE("Capacitor_",IF(Таблица11[[#This Row],[Capacity (n)]]&lt;=0.1,CONCATENATE(L31*1000,"p"),IF(L31&gt;=100,CONCATENATE(L31/1000,"u"),CONCATENATE(L31,"n"))),"_",G31*100,"_",H31,"V_",I31,"_",K31)</f>
        <v>Capacitor_0,27u_10_50V_X7R_0603C</v>
      </c>
      <c r="B31" s="5" t="s">
        <v>28</v>
      </c>
      <c r="C31" s="5" t="s">
        <v>27</v>
      </c>
      <c r="D31" s="5" t="s">
        <v>30</v>
      </c>
      <c r="E31" s="5" t="s">
        <v>27</v>
      </c>
      <c r="F31" s="22" t="str">
        <f>IF(Таблица11[[#This Row],[Capacity (n)]]&lt;=0.1,CONCATENATE(L31*1000," п"),IF(L31&gt;=100,CONCATENATE(L31/1000," мк"),CONCATENATE(L31," н")))</f>
        <v>0,27 мк</v>
      </c>
      <c r="G31" s="18">
        <v>0.1</v>
      </c>
      <c r="H31" s="12">
        <v>50</v>
      </c>
      <c r="I31" s="5" t="s">
        <v>158</v>
      </c>
      <c r="J31" s="5" t="str">
        <f t="shared" si="0"/>
        <v>Footprints\Capacitors\0603C.PcbLib</v>
      </c>
      <c r="K31" s="5" t="s">
        <v>37</v>
      </c>
      <c r="L31" s="12">
        <f t="shared" si="1"/>
        <v>270</v>
      </c>
    </row>
    <row r="32" spans="1:12" ht="15.5" x14ac:dyDescent="0.35">
      <c r="A32" s="22" t="str">
        <f>CONCATENATE("Capacitor_",IF(Таблица11[[#This Row],[Capacity (n)]]&lt;=0.1,CONCATENATE(L32*1000,"p"),IF(L32&gt;=100,CONCATENATE(L32/1000,"u"),CONCATENATE(L32,"n"))),"_",G32*100,"_",H32,"V_",I32,"_",K32)</f>
        <v>Capacitor_0,33u_10_50V_X7R_0603C</v>
      </c>
      <c r="B32" s="5" t="s">
        <v>28</v>
      </c>
      <c r="C32" s="5" t="s">
        <v>27</v>
      </c>
      <c r="D32" s="5" t="s">
        <v>30</v>
      </c>
      <c r="E32" s="5" t="s">
        <v>27</v>
      </c>
      <c r="F32" s="22" t="str">
        <f>IF(Таблица11[[#This Row],[Capacity (n)]]&lt;=0.1,CONCATENATE(L32*1000," п"),IF(L32&gt;=100,CONCATENATE(L32/1000," мк"),CONCATENATE(L32," н")))</f>
        <v>0,33 мк</v>
      </c>
      <c r="G32" s="18">
        <v>0.1</v>
      </c>
      <c r="H32" s="12">
        <v>50</v>
      </c>
      <c r="I32" s="5" t="s">
        <v>158</v>
      </c>
      <c r="J32" s="5" t="str">
        <f t="shared" si="0"/>
        <v>Footprints\Capacitors\0603C.PcbLib</v>
      </c>
      <c r="K32" s="5" t="s">
        <v>37</v>
      </c>
      <c r="L32" s="12">
        <f t="shared" si="1"/>
        <v>330</v>
      </c>
    </row>
    <row r="33" spans="1:12" ht="15.5" x14ac:dyDescent="0.35">
      <c r="A33" s="22" t="str">
        <f>CONCATENATE("Capacitor_",IF(Таблица11[[#This Row],[Capacity (n)]]&lt;=0.1,CONCATENATE(L33*1000,"p"),IF(L33&gt;=100,CONCATENATE(L33/1000,"u"),CONCATENATE(L33,"n"))),"_",G33*100,"_",H33,"V_",I33,"_",K33)</f>
        <v>Capacitor_0,39u_10_50V_X7R_0603C</v>
      </c>
      <c r="B33" s="5" t="s">
        <v>28</v>
      </c>
      <c r="C33" s="5" t="s">
        <v>27</v>
      </c>
      <c r="D33" s="5" t="s">
        <v>30</v>
      </c>
      <c r="E33" s="5" t="s">
        <v>27</v>
      </c>
      <c r="F33" s="22" t="str">
        <f>IF(Таблица11[[#This Row],[Capacity (n)]]&lt;=0.1,CONCATENATE(L33*1000," п"),IF(L33&gt;=100,CONCATENATE(L33/1000," мк"),CONCATENATE(L33," н")))</f>
        <v>0,39 мк</v>
      </c>
      <c r="G33" s="18">
        <v>0.1</v>
      </c>
      <c r="H33" s="12">
        <v>50</v>
      </c>
      <c r="I33" s="5" t="s">
        <v>158</v>
      </c>
      <c r="J33" s="5" t="str">
        <f t="shared" si="0"/>
        <v>Footprints\Capacitors\0603C.PcbLib</v>
      </c>
      <c r="K33" s="5" t="s">
        <v>37</v>
      </c>
      <c r="L33" s="12">
        <f t="shared" si="1"/>
        <v>390</v>
      </c>
    </row>
    <row r="34" spans="1:12" ht="15.5" x14ac:dyDescent="0.35">
      <c r="A34" s="22" t="str">
        <f>CONCATENATE("Capacitor_",IF(Таблица11[[#This Row],[Capacity (n)]]&lt;=0.1,CONCATENATE(L34*1000,"p"),IF(L34&gt;=100,CONCATENATE(L34/1000,"u"),CONCATENATE(L34,"n"))),"_",G34*100,"_",H34,"V_",I34,"_",K34)</f>
        <v>Capacitor_0,47u_10_50V_X7R_0603C</v>
      </c>
      <c r="B34" s="5" t="s">
        <v>28</v>
      </c>
      <c r="C34" s="5" t="s">
        <v>27</v>
      </c>
      <c r="D34" s="5" t="s">
        <v>30</v>
      </c>
      <c r="E34" s="5" t="s">
        <v>27</v>
      </c>
      <c r="F34" s="22" t="str">
        <f>IF(Таблица11[[#This Row],[Capacity (n)]]&lt;=0.1,CONCATENATE(L34*1000," п"),IF(L34&gt;=100,CONCATENATE(L34/1000," мк"),CONCATENATE(L34," н")))</f>
        <v>0,47 мк</v>
      </c>
      <c r="G34" s="18">
        <v>0.1</v>
      </c>
      <c r="H34" s="12">
        <v>50</v>
      </c>
      <c r="I34" s="5" t="s">
        <v>158</v>
      </c>
      <c r="J34" s="5" t="str">
        <f t="shared" si="0"/>
        <v>Footprints\Capacitors\0603C.PcbLib</v>
      </c>
      <c r="K34" s="5" t="s">
        <v>37</v>
      </c>
      <c r="L34" s="12">
        <f t="shared" si="1"/>
        <v>470</v>
      </c>
    </row>
    <row r="35" spans="1:12" ht="15.5" x14ac:dyDescent="0.35">
      <c r="A35" s="22" t="str">
        <f>CONCATENATE("Capacitor_",IF(Таблица11[[#This Row],[Capacity (n)]]&lt;=0.1,CONCATENATE(L35*1000,"p"),IF(L35&gt;=100,CONCATENATE(L35/1000,"u"),CONCATENATE(L35,"n"))),"_",G35*100,"_",H35,"V_",I35,"_",K35)</f>
        <v>Capacitor_0,56u_10_50V_X7R_0603C</v>
      </c>
      <c r="B35" s="5" t="s">
        <v>28</v>
      </c>
      <c r="C35" s="5" t="s">
        <v>27</v>
      </c>
      <c r="D35" s="5" t="s">
        <v>30</v>
      </c>
      <c r="E35" s="5" t="s">
        <v>27</v>
      </c>
      <c r="F35" s="22" t="str">
        <f>IF(Таблица11[[#This Row],[Capacity (n)]]&lt;=0.1,CONCATENATE(L35*1000," п"),IF(L35&gt;=100,CONCATENATE(L35/1000," мк"),CONCATENATE(L35," н")))</f>
        <v>0,56 мк</v>
      </c>
      <c r="G35" s="18">
        <v>0.1</v>
      </c>
      <c r="H35" s="12">
        <v>50</v>
      </c>
      <c r="I35" s="5" t="s">
        <v>158</v>
      </c>
      <c r="J35" s="5" t="str">
        <f t="shared" si="0"/>
        <v>Footprints\Capacitors\0603C.PcbLib</v>
      </c>
      <c r="K35" s="5" t="s">
        <v>37</v>
      </c>
      <c r="L35" s="12">
        <f t="shared" si="1"/>
        <v>560</v>
      </c>
    </row>
    <row r="36" spans="1:12" ht="15.5" x14ac:dyDescent="0.35">
      <c r="A36" s="22" t="str">
        <f>CONCATENATE("Capacitor_",IF(Таблица11[[#This Row],[Capacity (n)]]&lt;=0.1,CONCATENATE(L36*1000,"p"),IF(L36&gt;=100,CONCATENATE(L36/1000,"u"),CONCATENATE(L36,"n"))),"_",G36*100,"_",H36,"V_",I36,"_",K36)</f>
        <v>Capacitor_0,68u_10_50V_X7R_0603C</v>
      </c>
      <c r="B36" s="5" t="s">
        <v>28</v>
      </c>
      <c r="C36" s="5" t="s">
        <v>27</v>
      </c>
      <c r="D36" s="5" t="s">
        <v>30</v>
      </c>
      <c r="E36" s="5" t="s">
        <v>27</v>
      </c>
      <c r="F36" s="22" t="str">
        <f>IF(Таблица11[[#This Row],[Capacity (n)]]&lt;=0.1,CONCATENATE(L36*1000," п"),IF(L36&gt;=100,CONCATENATE(L36/1000," мк"),CONCATENATE(L36," н")))</f>
        <v>0,68 мк</v>
      </c>
      <c r="G36" s="18">
        <v>0.1</v>
      </c>
      <c r="H36" s="12">
        <v>50</v>
      </c>
      <c r="I36" s="5" t="s">
        <v>158</v>
      </c>
      <c r="J36" s="5" t="str">
        <f t="shared" si="0"/>
        <v>Footprints\Capacitors\0603C.PcbLib</v>
      </c>
      <c r="K36" s="5" t="s">
        <v>37</v>
      </c>
      <c r="L36" s="12">
        <f t="shared" si="1"/>
        <v>680</v>
      </c>
    </row>
    <row r="37" spans="1:12" ht="15.5" x14ac:dyDescent="0.35">
      <c r="A37" s="22" t="str">
        <f>CONCATENATE("Capacitor_",IF(Таблица11[[#This Row],[Capacity (n)]]&lt;=0.1,CONCATENATE(L37*1000,"p"),IF(L37&gt;=100,CONCATENATE(L37/1000,"u"),CONCATENATE(L37,"n"))),"_",G37*100,"_",H37,"V_",I37,"_",K37)</f>
        <v>Capacitor_0,82u_10_50V_X7R_0603C</v>
      </c>
      <c r="B37" s="5" t="s">
        <v>28</v>
      </c>
      <c r="C37" s="5" t="s">
        <v>27</v>
      </c>
      <c r="D37" s="5" t="s">
        <v>30</v>
      </c>
      <c r="E37" s="5" t="s">
        <v>27</v>
      </c>
      <c r="F37" s="22" t="str">
        <f>IF(Таблица11[[#This Row],[Capacity (n)]]&lt;=0.1,CONCATENATE(L37*1000," п"),IF(L37&gt;=100,CONCATENATE(L37/1000," мк"),CONCATENATE(L37," н")))</f>
        <v>0,82 мк</v>
      </c>
      <c r="G37" s="18">
        <v>0.1</v>
      </c>
      <c r="H37" s="12">
        <v>50</v>
      </c>
      <c r="I37" s="5" t="s">
        <v>158</v>
      </c>
      <c r="J37" s="5" t="str">
        <f t="shared" si="0"/>
        <v>Footprints\Capacitors\0603C.PcbLib</v>
      </c>
      <c r="K37" s="5" t="s">
        <v>37</v>
      </c>
      <c r="L37" s="12">
        <f t="shared" si="1"/>
        <v>820</v>
      </c>
    </row>
    <row r="38" spans="1:12" ht="15.5" x14ac:dyDescent="0.35">
      <c r="A38" s="23" t="str">
        <f>CONCATENATE("Capacitor_",IF(Таблица11[[#This Row],[Capacity (n)]]&lt;=0.1,CONCATENATE(L38*1000,"p"),IF(L38&gt;=100,CONCATENATE(L38/1000,"u"),CONCATENATE(L38,"n"))),"_",G38*100,"_",H38,"V_",I38,"_",K38)</f>
        <v>Capacitor_1u_10_50V_X7R_0603C</v>
      </c>
      <c r="B38" s="15" t="s">
        <v>28</v>
      </c>
      <c r="C38" s="15" t="s">
        <v>27</v>
      </c>
      <c r="D38" s="15" t="s">
        <v>30</v>
      </c>
      <c r="E38" s="15" t="s">
        <v>27</v>
      </c>
      <c r="F38" s="23" t="str">
        <f>IF(Таблица11[[#This Row],[Capacity (n)]]&lt;=0.1,CONCATENATE(L38*1000," п"),IF(L38&gt;=100,CONCATENATE(L38/1000," мк"),CONCATENATE(L38," н")))</f>
        <v>1 мк</v>
      </c>
      <c r="G38" s="20">
        <v>0.1</v>
      </c>
      <c r="H38" s="14">
        <v>50</v>
      </c>
      <c r="I38" s="15" t="s">
        <v>158</v>
      </c>
      <c r="J38" s="15" t="str">
        <f t="shared" si="0"/>
        <v>Footprints\Capacitors\0603C.PcbLib</v>
      </c>
      <c r="K38" s="15" t="s">
        <v>37</v>
      </c>
      <c r="L38" s="14">
        <f t="shared" si="1"/>
        <v>1000</v>
      </c>
    </row>
    <row r="39" spans="1:12" ht="15.5" x14ac:dyDescent="0.35">
      <c r="A39" s="23" t="str">
        <f>CONCATENATE("Capacitor_",IF(Таблица11[[#This Row],[Capacity (n)]]&lt;=0.1,CONCATENATE(L39*1000,"p"),IF(L39&gt;=100,CONCATENATE(L39/1000,"u"),CONCATENATE(L39,"n"))),"_",G39*100,"_",H39,"V_",I39,"_",K39)</f>
        <v>Capacitor_1,2u_10_50V_X7R_0603C</v>
      </c>
      <c r="B39" s="15" t="s">
        <v>28</v>
      </c>
      <c r="C39" s="15" t="s">
        <v>27</v>
      </c>
      <c r="D39" s="15" t="s">
        <v>30</v>
      </c>
      <c r="E39" s="15" t="s">
        <v>27</v>
      </c>
      <c r="F39" s="23" t="str">
        <f>IF(Таблица11[[#This Row],[Capacity (n)]]&lt;=0.1,CONCATENATE(L39*1000," п"),IF(L39&gt;=100,CONCATENATE(L39/1000," мк"),CONCATENATE(L39," н")))</f>
        <v>1,2 мк</v>
      </c>
      <c r="G39" s="20">
        <v>0.1</v>
      </c>
      <c r="H39" s="14">
        <v>50</v>
      </c>
      <c r="I39" s="15" t="s">
        <v>158</v>
      </c>
      <c r="J39" s="15" t="str">
        <f t="shared" ref="J39:J46" si="2">CONCATENATE("Footprints\Capacitors\",K39,".PcbLib")</f>
        <v>Footprints\Capacitors\0603C.PcbLib</v>
      </c>
      <c r="K39" s="15" t="s">
        <v>37</v>
      </c>
      <c r="L39" s="14">
        <f t="shared" si="1"/>
        <v>1200</v>
      </c>
    </row>
    <row r="40" spans="1:12" ht="15.5" x14ac:dyDescent="0.35">
      <c r="A40" s="23" t="str">
        <f>CONCATENATE("Capacitor_",IF(Таблица11[[#This Row],[Capacity (n)]]&lt;=0.1,CONCATENATE(L40*1000,"p"),IF(L40&gt;=100,CONCATENATE(L40/1000,"u"),CONCATENATE(L40,"n"))),"_",G40*100,"_",H40,"V_",I40,"_",K40)</f>
        <v>Capacitor_1,5u_10_50V_X7R_0603C</v>
      </c>
      <c r="B40" s="15" t="s">
        <v>28</v>
      </c>
      <c r="C40" s="15" t="s">
        <v>27</v>
      </c>
      <c r="D40" s="15" t="s">
        <v>30</v>
      </c>
      <c r="E40" s="15" t="s">
        <v>27</v>
      </c>
      <c r="F40" s="23" t="str">
        <f>IF(Таблица11[[#This Row],[Capacity (n)]]&lt;=0.1,CONCATENATE(L40*1000," п"),IF(L40&gt;=100,CONCATENATE(L40/1000," мк"),CONCATENATE(L40," н")))</f>
        <v>1,5 мк</v>
      </c>
      <c r="G40" s="20">
        <v>0.1</v>
      </c>
      <c r="H40" s="14">
        <v>50</v>
      </c>
      <c r="I40" s="15" t="s">
        <v>158</v>
      </c>
      <c r="J40" s="15" t="str">
        <f t="shared" si="2"/>
        <v>Footprints\Capacitors\0603C.PcbLib</v>
      </c>
      <c r="K40" s="15" t="s">
        <v>37</v>
      </c>
      <c r="L40" s="14">
        <f t="shared" si="1"/>
        <v>1500</v>
      </c>
    </row>
    <row r="41" spans="1:12" ht="15.5" x14ac:dyDescent="0.35">
      <c r="A41" s="23" t="str">
        <f>CONCATENATE("Capacitor_",IF(Таблица11[[#This Row],[Capacity (n)]]&lt;=0.1,CONCATENATE(L41*1000,"p"),IF(L41&gt;=100,CONCATENATE(L41/1000,"u"),CONCATENATE(L41,"n"))),"_",G41*100,"_",H41,"V_",I41,"_",K41)</f>
        <v>Capacitor_1,8u_10_50V_X7R_0603C</v>
      </c>
      <c r="B41" s="15" t="s">
        <v>28</v>
      </c>
      <c r="C41" s="15" t="s">
        <v>27</v>
      </c>
      <c r="D41" s="15" t="s">
        <v>30</v>
      </c>
      <c r="E41" s="15" t="s">
        <v>27</v>
      </c>
      <c r="F41" s="23" t="str">
        <f>IF(Таблица11[[#This Row],[Capacity (n)]]&lt;=0.1,CONCATENATE(L41*1000," п"),IF(L41&gt;=100,CONCATENATE(L41/1000," мк"),CONCATENATE(L41," н")))</f>
        <v>1,8 мк</v>
      </c>
      <c r="G41" s="20">
        <v>0.1</v>
      </c>
      <c r="H41" s="14">
        <v>50</v>
      </c>
      <c r="I41" s="15" t="s">
        <v>158</v>
      </c>
      <c r="J41" s="15" t="str">
        <f t="shared" si="2"/>
        <v>Footprints\Capacitors\0603C.PcbLib</v>
      </c>
      <c r="K41" s="15" t="s">
        <v>37</v>
      </c>
      <c r="L41" s="14">
        <f t="shared" si="1"/>
        <v>1800</v>
      </c>
    </row>
    <row r="42" spans="1:12" ht="15.5" x14ac:dyDescent="0.35">
      <c r="A42" s="23" t="str">
        <f>CONCATENATE("Capacitor_",IF(Таблица11[[#This Row],[Capacity (n)]]&lt;=0.1,CONCATENATE(L42*1000,"p"),IF(L42&gt;=100,CONCATENATE(L42/1000,"u"),CONCATENATE(L42,"n"))),"_",G42*100,"_",H42,"V_",I42,"_",K42)</f>
        <v>Capacitor_2,2u_10_50V_X7R_0603C</v>
      </c>
      <c r="B42" s="15" t="s">
        <v>28</v>
      </c>
      <c r="C42" s="15" t="s">
        <v>27</v>
      </c>
      <c r="D42" s="15" t="s">
        <v>30</v>
      </c>
      <c r="E42" s="15" t="s">
        <v>27</v>
      </c>
      <c r="F42" s="23" t="str">
        <f>IF(Таблица11[[#This Row],[Capacity (n)]]&lt;=0.1,CONCATENATE(L42*1000," п"),IF(L42&gt;=100,CONCATENATE(L42/1000," мк"),CONCATENATE(L42," н")))</f>
        <v>2,2 мк</v>
      </c>
      <c r="G42" s="20">
        <v>0.1</v>
      </c>
      <c r="H42" s="14">
        <v>50</v>
      </c>
      <c r="I42" s="15" t="s">
        <v>158</v>
      </c>
      <c r="J42" s="15" t="str">
        <f t="shared" si="2"/>
        <v>Footprints\Capacitors\0603C.PcbLib</v>
      </c>
      <c r="K42" s="15" t="s">
        <v>37</v>
      </c>
      <c r="L42" s="14">
        <f t="shared" si="1"/>
        <v>2200</v>
      </c>
    </row>
    <row r="43" spans="1:12" ht="15.5" x14ac:dyDescent="0.35">
      <c r="A43" s="23" t="str">
        <f>CONCATENATE("Capacitor_",IF(Таблица11[[#This Row],[Capacity (n)]]&lt;=0.1,CONCATENATE(L43*1000,"p"),IF(L43&gt;=100,CONCATENATE(L43/1000,"u"),CONCATENATE(L43,"n"))),"_",G43*100,"_",H43,"V_",I43,"_",K43)</f>
        <v>Capacitor_2,7u_10_50V_X7R_0603C</v>
      </c>
      <c r="B43" s="15" t="s">
        <v>28</v>
      </c>
      <c r="C43" s="15" t="s">
        <v>27</v>
      </c>
      <c r="D43" s="15" t="s">
        <v>30</v>
      </c>
      <c r="E43" s="15" t="s">
        <v>27</v>
      </c>
      <c r="F43" s="23" t="str">
        <f>IF(Таблица11[[#This Row],[Capacity (n)]]&lt;=0.1,CONCATENATE(L43*1000," п"),IF(L43&gt;=100,CONCATENATE(L43/1000," мк"),CONCATENATE(L43," н")))</f>
        <v>2,7 мк</v>
      </c>
      <c r="G43" s="20">
        <v>0.1</v>
      </c>
      <c r="H43" s="14">
        <v>50</v>
      </c>
      <c r="I43" s="15" t="s">
        <v>158</v>
      </c>
      <c r="J43" s="15" t="str">
        <f t="shared" si="2"/>
        <v>Footprints\Capacitors\0603C.PcbLib</v>
      </c>
      <c r="K43" s="15" t="s">
        <v>37</v>
      </c>
      <c r="L43" s="14">
        <f t="shared" si="1"/>
        <v>2700</v>
      </c>
    </row>
    <row r="44" spans="1:12" ht="15.5" x14ac:dyDescent="0.35">
      <c r="A44" s="23" t="str">
        <f>CONCATENATE("Capacitor_",IF(Таблица11[[#This Row],[Capacity (n)]]&lt;=0.1,CONCATENATE(L44*1000,"p"),IF(L44&gt;=100,CONCATENATE(L44/1000,"u"),CONCATENATE(L44,"n"))),"_",G44*100,"_",H44,"V_",I44,"_",K44)</f>
        <v>Capacitor_3,3u_10_50V_X7R_0603C</v>
      </c>
      <c r="B44" s="15" t="s">
        <v>28</v>
      </c>
      <c r="C44" s="15" t="s">
        <v>27</v>
      </c>
      <c r="D44" s="15" t="s">
        <v>30</v>
      </c>
      <c r="E44" s="15" t="s">
        <v>27</v>
      </c>
      <c r="F44" s="23" t="str">
        <f>IF(Таблица11[[#This Row],[Capacity (n)]]&lt;=0.1,CONCATENATE(L44*1000," п"),IF(L44&gt;=100,CONCATENATE(L44/1000," мк"),CONCATENATE(L44," н")))</f>
        <v>3,3 мк</v>
      </c>
      <c r="G44" s="20">
        <v>0.1</v>
      </c>
      <c r="H44" s="14">
        <v>50</v>
      </c>
      <c r="I44" s="15" t="s">
        <v>158</v>
      </c>
      <c r="J44" s="15" t="str">
        <f t="shared" si="2"/>
        <v>Footprints\Capacitors\0603C.PcbLib</v>
      </c>
      <c r="K44" s="15" t="s">
        <v>37</v>
      </c>
      <c r="L44" s="14">
        <f t="shared" si="1"/>
        <v>3300</v>
      </c>
    </row>
    <row r="45" spans="1:12" ht="15.5" x14ac:dyDescent="0.35">
      <c r="A45" s="23" t="str">
        <f>CONCATENATE("Capacitor_",IF(Таблица11[[#This Row],[Capacity (n)]]&lt;=0.1,CONCATENATE(L45*1000,"p"),IF(L45&gt;=100,CONCATENATE(L45/1000,"u"),CONCATENATE(L45,"n"))),"_",G45*100,"_",H45,"V_",I45,"_",K45)</f>
        <v>Capacitor_3,9u_10_50V_X7R_0603C</v>
      </c>
      <c r="B45" s="15" t="s">
        <v>28</v>
      </c>
      <c r="C45" s="15" t="s">
        <v>27</v>
      </c>
      <c r="D45" s="15" t="s">
        <v>30</v>
      </c>
      <c r="E45" s="15" t="s">
        <v>27</v>
      </c>
      <c r="F45" s="23" t="str">
        <f>IF(Таблица11[[#This Row],[Capacity (n)]]&lt;=0.1,CONCATENATE(L45*1000," п"),IF(L45&gt;=100,CONCATENATE(L45/1000," мк"),CONCATENATE(L45," н")))</f>
        <v>3,9 мк</v>
      </c>
      <c r="G45" s="20">
        <v>0.1</v>
      </c>
      <c r="H45" s="14">
        <v>50</v>
      </c>
      <c r="I45" s="15" t="s">
        <v>158</v>
      </c>
      <c r="J45" s="15" t="str">
        <f t="shared" si="2"/>
        <v>Footprints\Capacitors\0603C.PcbLib</v>
      </c>
      <c r="K45" s="15" t="s">
        <v>37</v>
      </c>
      <c r="L45" s="14">
        <f t="shared" si="1"/>
        <v>3900</v>
      </c>
    </row>
    <row r="46" spans="1:12" ht="15.5" x14ac:dyDescent="0.35">
      <c r="A46" s="23" t="str">
        <f>CONCATENATE("Capacitor_",IF(Таблица11[[#This Row],[Capacity (n)]]&lt;=0.1,CONCATENATE(L46*1000,"p"),IF(L46&gt;=100,CONCATENATE(L46/1000,"u"),CONCATENATE(L46,"n"))),"_",G46*100,"_",H46,"V_",I46,"_",K46)</f>
        <v>Capacitor_4,7u_10_50V_X7R_0805C</v>
      </c>
      <c r="B46" s="15" t="s">
        <v>28</v>
      </c>
      <c r="C46" s="15" t="s">
        <v>27</v>
      </c>
      <c r="D46" s="15" t="s">
        <v>30</v>
      </c>
      <c r="E46" s="15" t="s">
        <v>27</v>
      </c>
      <c r="F46" s="23" t="str">
        <f>IF(Таблица11[[#This Row],[Capacity (n)]]&lt;=0.1,CONCATENATE(L46*1000," п"),IF(L46&gt;=100,CONCATENATE(L46/1000," мк"),CONCATENATE(L46," н")))</f>
        <v>4,7 мк</v>
      </c>
      <c r="G46" s="20">
        <v>0.1</v>
      </c>
      <c r="H46" s="14">
        <v>50</v>
      </c>
      <c r="I46" s="15" t="s">
        <v>158</v>
      </c>
      <c r="J46" s="15" t="str">
        <f t="shared" si="2"/>
        <v>Footprints\Capacitors\0805C.PcbLib</v>
      </c>
      <c r="K46" s="15" t="s">
        <v>38</v>
      </c>
      <c r="L46" s="14">
        <f t="shared" si="1"/>
        <v>4700</v>
      </c>
    </row>
    <row r="47" spans="1:12" ht="15.5" x14ac:dyDescent="0.35">
      <c r="A47" s="23" t="str">
        <f>CONCATENATE("Capacitor_",IF(Таблица11[[#This Row],[Capacity (n)]]&lt;=0.1,CONCATENATE(L47*1000,"p"),IF(L47&gt;=100,CONCATENATE(L47/1000,"u"),CONCATENATE(L47,"n"))),"_",G47*100,"_",H47,"V_",I47,"_",K47)</f>
        <v>Capacitor_10u_10_25V_X7R_0805C</v>
      </c>
      <c r="B47" s="15" t="s">
        <v>28</v>
      </c>
      <c r="C47" s="15" t="s">
        <v>27</v>
      </c>
      <c r="D47" s="15" t="s">
        <v>30</v>
      </c>
      <c r="E47" s="15" t="s">
        <v>27</v>
      </c>
      <c r="F47" s="23" t="str">
        <f>IF(Таблица11[[#This Row],[Capacity (n)]]&lt;=0.1,CONCATENATE(L47*1000," п"),IF(L47&gt;=100,CONCATENATE(L47/1000," мк"),CONCATENATE(L47," н")))</f>
        <v>10 мк</v>
      </c>
      <c r="G47" s="20">
        <v>0.1</v>
      </c>
      <c r="H47" s="14">
        <v>25</v>
      </c>
      <c r="I47" s="15" t="s">
        <v>158</v>
      </c>
      <c r="J47" s="15" t="str">
        <f t="shared" ref="J47" si="3">CONCATENATE("Footprints\Capacitors\",K47,".PcbLib")</f>
        <v>Footprints\Capacitors\0805C.PcbLib</v>
      </c>
      <c r="K47" s="15" t="s">
        <v>38</v>
      </c>
      <c r="L47" s="14">
        <v>10000</v>
      </c>
    </row>
    <row r="48" spans="1:12" ht="15.5" x14ac:dyDescent="0.35">
      <c r="A48" s="23" t="str">
        <f>CONCATENATE("Capacitor_",IF(Таблица11[[#This Row],[Capacity (n)]]&lt;=0.1,CONCATENATE(L48*1000,"p"),IF(L48&gt;=100,CONCATENATE(L48/1000,"u"),CONCATENATE(L48,"n"))),"_",G48*100,"_",H48,"V_",I48,"_",K48)</f>
        <v>Capacitor_12p_10_50V_NP0_0603C</v>
      </c>
      <c r="B48" s="15" t="s">
        <v>28</v>
      </c>
      <c r="C48" s="15" t="s">
        <v>27</v>
      </c>
      <c r="D48" s="15" t="s">
        <v>30</v>
      </c>
      <c r="E48" s="15" t="s">
        <v>27</v>
      </c>
      <c r="F48" s="23" t="str">
        <f>IF(Таблица11[[#This Row],[Capacity (n)]]&lt;=0.1,CONCATENATE(L48*1000," п"),IF(L48&gt;=100,CONCATENATE(L48/1000," мк"),CONCATENATE(L48," н")))</f>
        <v>12 п</v>
      </c>
      <c r="G48" s="20">
        <v>0.1</v>
      </c>
      <c r="H48" s="14">
        <v>50</v>
      </c>
      <c r="I48" s="15" t="s">
        <v>172</v>
      </c>
      <c r="J48" s="15" t="str">
        <f t="shared" ref="J48" si="4">CONCATENATE("Footprints\Capacitors\",K48,".PcbLib")</f>
        <v>Footprints\Capacitors\0603C.PcbLib</v>
      </c>
      <c r="K48" s="15" t="s">
        <v>37</v>
      </c>
      <c r="L48" s="14">
        <v>1.2E-2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475D-E835-4DD5-B289-CDE52FE40F1B}">
  <sheetPr codeName="Лист11"/>
  <dimension ref="A1:L20"/>
  <sheetViews>
    <sheetView topLeftCell="B1" workbookViewId="0">
      <selection activeCell="K14" sqref="K14"/>
    </sheetView>
  </sheetViews>
  <sheetFormatPr defaultRowHeight="14.5" x14ac:dyDescent="0.35"/>
  <cols>
    <col min="1" max="1" width="46.1796875" customWidth="1"/>
    <col min="2" max="2" width="24.81640625" bestFit="1" customWidth="1"/>
    <col min="3" max="3" width="12.08984375" bestFit="1" customWidth="1"/>
    <col min="4" max="4" width="32" bestFit="1" customWidth="1"/>
    <col min="5" max="5" width="15.36328125" bestFit="1" customWidth="1"/>
    <col min="6" max="6" width="8.26953125" bestFit="1" customWidth="1"/>
    <col min="7" max="7" width="12.08984375" bestFit="1" customWidth="1"/>
    <col min="8" max="8" width="13" bestFit="1" customWidth="1"/>
    <col min="9" max="9" width="9.453125" bestFit="1" customWidth="1"/>
    <col min="10" max="10" width="47" customWidth="1"/>
    <col min="11" max="11" width="16.81640625" bestFit="1" customWidth="1"/>
    <col min="12" max="12" width="13.542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1" t="s">
        <v>148</v>
      </c>
      <c r="H1" s="11" t="s">
        <v>159</v>
      </c>
      <c r="I1" s="11" t="s">
        <v>161</v>
      </c>
      <c r="J1" s="11" t="s">
        <v>12</v>
      </c>
      <c r="K1" s="11" t="s">
        <v>8</v>
      </c>
      <c r="L1" s="21" t="s">
        <v>163</v>
      </c>
    </row>
    <row r="2" spans="1:12" ht="15.5" x14ac:dyDescent="0.35">
      <c r="A2" s="5" t="str">
        <f>CONCATENATE("Capacitor_",CONCATENATE(L2,"u"),"_",G2*100,"_",H2,"V_",K2)</f>
        <v>Capacitor_1u_10_50V_TC_A</v>
      </c>
      <c r="B2" s="17" t="s">
        <v>165</v>
      </c>
      <c r="C2" s="17" t="s">
        <v>27</v>
      </c>
      <c r="D2" s="17" t="s">
        <v>164</v>
      </c>
      <c r="E2" s="17" t="s">
        <v>39</v>
      </c>
      <c r="F2" s="17" t="str">
        <f>CONCATENATE(L2," мк")</f>
        <v>1 мк</v>
      </c>
      <c r="G2" s="24">
        <v>0.1</v>
      </c>
      <c r="H2" s="24">
        <v>50</v>
      </c>
      <c r="I2" s="17" t="s">
        <v>162</v>
      </c>
      <c r="J2" s="17" t="str">
        <f>CONCATENATE("Footprints\Capacitors\",K2,".PcbLib")</f>
        <v>Footprints\Capacitors\TC_A.PcbLib</v>
      </c>
      <c r="K2" s="17" t="s">
        <v>121</v>
      </c>
      <c r="L2" s="24">
        <v>1</v>
      </c>
    </row>
    <row r="3" spans="1:12" ht="15.5" x14ac:dyDescent="0.35">
      <c r="A3" s="5" t="str">
        <f t="shared" ref="A3:A12" si="0">CONCATENATE("Capacitor_",CONCATENATE(L3,"u"),"_",G3*100,"_",H3,"V_",K3)</f>
        <v>Capacitor_1,5u_10_50V_TC_A</v>
      </c>
      <c r="B3" s="5" t="s">
        <v>165</v>
      </c>
      <c r="C3" s="5" t="s">
        <v>27</v>
      </c>
      <c r="D3" s="5" t="s">
        <v>164</v>
      </c>
      <c r="E3" s="5" t="s">
        <v>39</v>
      </c>
      <c r="F3" s="5" t="str">
        <f t="shared" ref="F3:F12" si="1">CONCATENATE(L3," мк")</f>
        <v>1,5 мк</v>
      </c>
      <c r="G3" s="22">
        <v>0.1</v>
      </c>
      <c r="H3" s="22">
        <v>50</v>
      </c>
      <c r="I3" s="5" t="s">
        <v>162</v>
      </c>
      <c r="J3" s="5" t="str">
        <f t="shared" ref="J3:J20" si="2">CONCATENATE("Footprints\Capacitors\",K3,".PcbLib")</f>
        <v>Footprints\Capacitors\TC_A.PcbLib</v>
      </c>
      <c r="K3" s="5" t="s">
        <v>121</v>
      </c>
      <c r="L3" s="22">
        <v>1.5</v>
      </c>
    </row>
    <row r="4" spans="1:12" ht="15.5" x14ac:dyDescent="0.35">
      <c r="A4" s="5" t="str">
        <f t="shared" si="0"/>
        <v>Capacitor_2,2u_10_50V_TC_A</v>
      </c>
      <c r="B4" s="5" t="s">
        <v>165</v>
      </c>
      <c r="C4" s="5" t="s">
        <v>27</v>
      </c>
      <c r="D4" s="5" t="s">
        <v>164</v>
      </c>
      <c r="E4" s="5" t="s">
        <v>39</v>
      </c>
      <c r="F4" s="5" t="str">
        <f t="shared" si="1"/>
        <v>2,2 мк</v>
      </c>
      <c r="G4" s="22">
        <v>0.1</v>
      </c>
      <c r="H4" s="22">
        <v>50</v>
      </c>
      <c r="I4" s="5" t="s">
        <v>162</v>
      </c>
      <c r="J4" s="5" t="str">
        <f t="shared" si="2"/>
        <v>Footprints\Capacitors\TC_A.PcbLib</v>
      </c>
      <c r="K4" s="5" t="s">
        <v>121</v>
      </c>
      <c r="L4" s="22">
        <v>2.2000000000000002</v>
      </c>
    </row>
    <row r="5" spans="1:12" ht="15.5" x14ac:dyDescent="0.35">
      <c r="A5" s="5" t="str">
        <f t="shared" si="0"/>
        <v>Capacitor_3,3u_10_50V_TC_A</v>
      </c>
      <c r="B5" s="5" t="s">
        <v>165</v>
      </c>
      <c r="C5" s="5" t="s">
        <v>27</v>
      </c>
      <c r="D5" s="5" t="s">
        <v>164</v>
      </c>
      <c r="E5" s="5" t="s">
        <v>39</v>
      </c>
      <c r="F5" s="5" t="str">
        <f t="shared" si="1"/>
        <v>3,3 мк</v>
      </c>
      <c r="G5" s="22">
        <v>0.1</v>
      </c>
      <c r="H5" s="22">
        <v>50</v>
      </c>
      <c r="I5" s="5" t="s">
        <v>162</v>
      </c>
      <c r="J5" s="5" t="str">
        <f t="shared" si="2"/>
        <v>Footprints\Capacitors\TC_A.PcbLib</v>
      </c>
      <c r="K5" s="5" t="s">
        <v>121</v>
      </c>
      <c r="L5" s="22">
        <v>3.3</v>
      </c>
    </row>
    <row r="6" spans="1:12" ht="15.5" x14ac:dyDescent="0.35">
      <c r="A6" s="5" t="str">
        <f t="shared" si="0"/>
        <v>Capacitor_4,7u_10_50V_TC_A</v>
      </c>
      <c r="B6" s="5" t="s">
        <v>165</v>
      </c>
      <c r="C6" s="5" t="s">
        <v>27</v>
      </c>
      <c r="D6" s="5" t="s">
        <v>164</v>
      </c>
      <c r="E6" s="5" t="s">
        <v>39</v>
      </c>
      <c r="F6" s="5" t="str">
        <f t="shared" si="1"/>
        <v>4,7 мк</v>
      </c>
      <c r="G6" s="22">
        <v>0.1</v>
      </c>
      <c r="H6" s="22">
        <v>50</v>
      </c>
      <c r="I6" s="5" t="s">
        <v>162</v>
      </c>
      <c r="J6" s="5" t="str">
        <f t="shared" si="2"/>
        <v>Footprints\Capacitors\TC_A.PcbLib</v>
      </c>
      <c r="K6" s="5" t="s">
        <v>121</v>
      </c>
      <c r="L6" s="22">
        <v>4.7</v>
      </c>
    </row>
    <row r="7" spans="1:12" ht="15.5" x14ac:dyDescent="0.35">
      <c r="A7" s="5" t="str">
        <f t="shared" si="0"/>
        <v>Capacitor_6,8u_10_50V_TC_A</v>
      </c>
      <c r="B7" s="5" t="s">
        <v>165</v>
      </c>
      <c r="C7" s="5" t="s">
        <v>27</v>
      </c>
      <c r="D7" s="5" t="s">
        <v>164</v>
      </c>
      <c r="E7" s="5" t="s">
        <v>39</v>
      </c>
      <c r="F7" s="5" t="str">
        <f t="shared" si="1"/>
        <v>6,8 мк</v>
      </c>
      <c r="G7" s="22">
        <v>0.1</v>
      </c>
      <c r="H7" s="22">
        <v>50</v>
      </c>
      <c r="I7" s="5" t="s">
        <v>162</v>
      </c>
      <c r="J7" s="5" t="str">
        <f t="shared" si="2"/>
        <v>Footprints\Capacitors\TC_A.PcbLib</v>
      </c>
      <c r="K7" s="5" t="s">
        <v>121</v>
      </c>
      <c r="L7" s="22">
        <v>6.8</v>
      </c>
    </row>
    <row r="8" spans="1:12" ht="15.5" x14ac:dyDescent="0.35">
      <c r="A8" s="5" t="str">
        <f t="shared" si="0"/>
        <v>Capacitor_10u_10_50V_TC_A</v>
      </c>
      <c r="B8" s="5" t="s">
        <v>165</v>
      </c>
      <c r="C8" s="5" t="s">
        <v>27</v>
      </c>
      <c r="D8" s="5" t="s">
        <v>164</v>
      </c>
      <c r="E8" s="5" t="s">
        <v>39</v>
      </c>
      <c r="F8" s="5" t="str">
        <f t="shared" si="1"/>
        <v>10 мк</v>
      </c>
      <c r="G8" s="22">
        <v>0.1</v>
      </c>
      <c r="H8" s="22">
        <v>50</v>
      </c>
      <c r="I8" s="5" t="s">
        <v>162</v>
      </c>
      <c r="J8" s="5" t="str">
        <f t="shared" si="2"/>
        <v>Footprints\Capacitors\TC_A.PcbLib</v>
      </c>
      <c r="K8" s="5" t="s">
        <v>121</v>
      </c>
      <c r="L8" s="22">
        <f>L2*10</f>
        <v>10</v>
      </c>
    </row>
    <row r="9" spans="1:12" ht="15.5" x14ac:dyDescent="0.35">
      <c r="A9" s="5" t="str">
        <f t="shared" si="0"/>
        <v>Capacitor_15u_10_50V_TC_A</v>
      </c>
      <c r="B9" s="5" t="s">
        <v>165</v>
      </c>
      <c r="C9" s="5" t="s">
        <v>27</v>
      </c>
      <c r="D9" s="5" t="s">
        <v>164</v>
      </c>
      <c r="E9" s="5" t="s">
        <v>39</v>
      </c>
      <c r="F9" s="5" t="str">
        <f t="shared" si="1"/>
        <v>15 мк</v>
      </c>
      <c r="G9" s="22">
        <v>0.1</v>
      </c>
      <c r="H9" s="22">
        <v>50</v>
      </c>
      <c r="I9" s="5" t="s">
        <v>162</v>
      </c>
      <c r="J9" s="5" t="str">
        <f t="shared" si="2"/>
        <v>Footprints\Capacitors\TC_A.PcbLib</v>
      </c>
      <c r="K9" s="5" t="s">
        <v>121</v>
      </c>
      <c r="L9" s="22">
        <f t="shared" ref="L9:L13" si="3">L3*10</f>
        <v>15</v>
      </c>
    </row>
    <row r="10" spans="1:12" ht="15.5" x14ac:dyDescent="0.35">
      <c r="A10" s="5" t="str">
        <f t="shared" si="0"/>
        <v>Capacitor_22u_10_50V_TC_A</v>
      </c>
      <c r="B10" s="5" t="s">
        <v>165</v>
      </c>
      <c r="C10" s="5" t="s">
        <v>27</v>
      </c>
      <c r="D10" s="5" t="s">
        <v>164</v>
      </c>
      <c r="E10" s="5" t="s">
        <v>39</v>
      </c>
      <c r="F10" s="5" t="str">
        <f t="shared" si="1"/>
        <v>22 мк</v>
      </c>
      <c r="G10" s="22">
        <v>0.1</v>
      </c>
      <c r="H10" s="22">
        <v>50</v>
      </c>
      <c r="I10" s="5" t="s">
        <v>162</v>
      </c>
      <c r="J10" s="5" t="str">
        <f t="shared" si="2"/>
        <v>Footprints\Capacitors\TC_A.PcbLib</v>
      </c>
      <c r="K10" s="5" t="s">
        <v>121</v>
      </c>
      <c r="L10" s="22">
        <f t="shared" si="3"/>
        <v>22</v>
      </c>
    </row>
    <row r="11" spans="1:12" ht="15.5" x14ac:dyDescent="0.35">
      <c r="A11" s="5" t="str">
        <f t="shared" si="0"/>
        <v>Capacitor_33u_10_50V_TC_A</v>
      </c>
      <c r="B11" s="5" t="s">
        <v>165</v>
      </c>
      <c r="C11" s="5" t="s">
        <v>27</v>
      </c>
      <c r="D11" s="5" t="s">
        <v>164</v>
      </c>
      <c r="E11" s="5" t="s">
        <v>39</v>
      </c>
      <c r="F11" s="5" t="str">
        <f t="shared" si="1"/>
        <v>33 мк</v>
      </c>
      <c r="G11" s="22">
        <v>0.1</v>
      </c>
      <c r="H11" s="22">
        <v>50</v>
      </c>
      <c r="I11" s="5" t="s">
        <v>162</v>
      </c>
      <c r="J11" s="5" t="str">
        <f t="shared" si="2"/>
        <v>Footprints\Capacitors\TC_A.PcbLib</v>
      </c>
      <c r="K11" s="5" t="s">
        <v>121</v>
      </c>
      <c r="L11" s="22">
        <f t="shared" si="3"/>
        <v>33</v>
      </c>
    </row>
    <row r="12" spans="1:12" ht="15.5" x14ac:dyDescent="0.35">
      <c r="A12" s="5" t="str">
        <f t="shared" si="0"/>
        <v>Capacitor_47u_10_50V_TC_A</v>
      </c>
      <c r="B12" s="5" t="s">
        <v>165</v>
      </c>
      <c r="C12" s="5" t="s">
        <v>27</v>
      </c>
      <c r="D12" s="5" t="s">
        <v>164</v>
      </c>
      <c r="E12" s="5" t="s">
        <v>39</v>
      </c>
      <c r="F12" s="5" t="str">
        <f t="shared" si="1"/>
        <v>47 мк</v>
      </c>
      <c r="G12" s="22">
        <v>0.1</v>
      </c>
      <c r="H12" s="22">
        <v>50</v>
      </c>
      <c r="I12" s="5" t="s">
        <v>162</v>
      </c>
      <c r="J12" s="5" t="str">
        <f t="shared" si="2"/>
        <v>Footprints\Capacitors\TC_A.PcbLib</v>
      </c>
      <c r="K12" s="5" t="s">
        <v>121</v>
      </c>
      <c r="L12" s="22">
        <f t="shared" si="3"/>
        <v>47</v>
      </c>
    </row>
    <row r="13" spans="1:12" ht="15.5" x14ac:dyDescent="0.35">
      <c r="A13" s="5" t="str">
        <f t="shared" ref="A13:A20" si="4">CONCATENATE("Capacitor_",CONCATENATE(L13,"u"),"_",G13*100,"_",H13,"V_",K13)</f>
        <v>Capacitor_68u_10_50V_TC_A</v>
      </c>
      <c r="B13" s="5" t="s">
        <v>165</v>
      </c>
      <c r="C13" s="5" t="s">
        <v>27</v>
      </c>
      <c r="D13" s="5" t="s">
        <v>164</v>
      </c>
      <c r="E13" s="5" t="s">
        <v>39</v>
      </c>
      <c r="F13" s="5" t="str">
        <f t="shared" ref="F13:F20" si="5">CONCATENATE(L13," мк")</f>
        <v>68 мк</v>
      </c>
      <c r="G13" s="22">
        <v>0.1</v>
      </c>
      <c r="H13" s="22">
        <v>50</v>
      </c>
      <c r="I13" s="5" t="s">
        <v>162</v>
      </c>
      <c r="J13" s="5" t="str">
        <f t="shared" si="2"/>
        <v>Footprints\Capacitors\TC_A.PcbLib</v>
      </c>
      <c r="K13" s="5" t="s">
        <v>121</v>
      </c>
      <c r="L13" s="22">
        <f t="shared" si="3"/>
        <v>68</v>
      </c>
    </row>
    <row r="14" spans="1:12" ht="15.5" x14ac:dyDescent="0.35">
      <c r="A14" s="5" t="str">
        <f t="shared" si="4"/>
        <v>Capacitor_100u_10_10V_TC_C</v>
      </c>
      <c r="B14" s="5" t="s">
        <v>165</v>
      </c>
      <c r="C14" s="5" t="s">
        <v>27</v>
      </c>
      <c r="D14" s="5" t="s">
        <v>164</v>
      </c>
      <c r="E14" s="5" t="s">
        <v>39</v>
      </c>
      <c r="F14" s="5" t="str">
        <f t="shared" si="5"/>
        <v>100 мк</v>
      </c>
      <c r="G14" s="22">
        <v>0.1</v>
      </c>
      <c r="H14" s="22">
        <v>10</v>
      </c>
      <c r="I14" s="5" t="s">
        <v>162</v>
      </c>
      <c r="J14" s="5" t="str">
        <f t="shared" si="2"/>
        <v>Footprints\Capacitors\TC_C.PcbLib</v>
      </c>
      <c r="K14" s="5" t="s">
        <v>123</v>
      </c>
      <c r="L14" s="22">
        <f>L8*10</f>
        <v>100</v>
      </c>
    </row>
    <row r="15" spans="1:12" ht="15.5" x14ac:dyDescent="0.35">
      <c r="A15" s="5" t="str">
        <f t="shared" si="4"/>
        <v>Capacitor_150u_10_50V_TC_A</v>
      </c>
      <c r="B15" s="5" t="s">
        <v>165</v>
      </c>
      <c r="C15" s="5" t="s">
        <v>27</v>
      </c>
      <c r="D15" s="5" t="s">
        <v>164</v>
      </c>
      <c r="E15" s="5" t="s">
        <v>39</v>
      </c>
      <c r="F15" s="5" t="str">
        <f t="shared" si="5"/>
        <v>150 мк</v>
      </c>
      <c r="G15" s="22">
        <v>0.1</v>
      </c>
      <c r="H15" s="22">
        <v>50</v>
      </c>
      <c r="I15" s="5" t="s">
        <v>162</v>
      </c>
      <c r="J15" s="5" t="str">
        <f t="shared" si="2"/>
        <v>Footprints\Capacitors\TC_A.PcbLib</v>
      </c>
      <c r="K15" s="5" t="s">
        <v>121</v>
      </c>
      <c r="L15" s="22">
        <f>L9*10</f>
        <v>150</v>
      </c>
    </row>
    <row r="16" spans="1:12" ht="15.5" x14ac:dyDescent="0.35">
      <c r="A16" s="5" t="str">
        <f t="shared" si="4"/>
        <v>Capacitor_220u_10_50V_TC_A</v>
      </c>
      <c r="B16" s="5" t="s">
        <v>165</v>
      </c>
      <c r="C16" s="5" t="s">
        <v>27</v>
      </c>
      <c r="D16" s="5" t="s">
        <v>164</v>
      </c>
      <c r="E16" s="5" t="s">
        <v>39</v>
      </c>
      <c r="F16" s="5" t="str">
        <f t="shared" si="5"/>
        <v>220 мк</v>
      </c>
      <c r="G16" s="22">
        <v>0.1</v>
      </c>
      <c r="H16" s="22">
        <v>50</v>
      </c>
      <c r="I16" s="5" t="s">
        <v>162</v>
      </c>
      <c r="J16" s="5" t="str">
        <f t="shared" si="2"/>
        <v>Footprints\Capacitors\TC_A.PcbLib</v>
      </c>
      <c r="K16" s="5" t="s">
        <v>121</v>
      </c>
      <c r="L16" s="22">
        <f t="shared" ref="L16:L19" si="6">L10*10</f>
        <v>220</v>
      </c>
    </row>
    <row r="17" spans="1:12" ht="15.5" x14ac:dyDescent="0.35">
      <c r="A17" s="5" t="str">
        <f t="shared" si="4"/>
        <v>Capacitor_330u_10_50V_TC_A</v>
      </c>
      <c r="B17" s="5" t="s">
        <v>165</v>
      </c>
      <c r="C17" s="5" t="s">
        <v>27</v>
      </c>
      <c r="D17" s="5" t="s">
        <v>164</v>
      </c>
      <c r="E17" s="5" t="s">
        <v>39</v>
      </c>
      <c r="F17" s="5" t="str">
        <f t="shared" si="5"/>
        <v>330 мк</v>
      </c>
      <c r="G17" s="22">
        <v>0.1</v>
      </c>
      <c r="H17" s="22">
        <v>50</v>
      </c>
      <c r="I17" s="5" t="s">
        <v>162</v>
      </c>
      <c r="J17" s="5" t="str">
        <f t="shared" si="2"/>
        <v>Footprints\Capacitors\TC_A.PcbLib</v>
      </c>
      <c r="K17" s="5" t="s">
        <v>121</v>
      </c>
      <c r="L17" s="22">
        <f t="shared" si="6"/>
        <v>330</v>
      </c>
    </row>
    <row r="18" spans="1:12" ht="15.5" x14ac:dyDescent="0.35">
      <c r="A18" s="5" t="str">
        <f t="shared" si="4"/>
        <v>Capacitor_470u_10_50V_RADIAL-2_10MM</v>
      </c>
      <c r="B18" s="5" t="s">
        <v>190</v>
      </c>
      <c r="C18" s="5" t="s">
        <v>27</v>
      </c>
      <c r="D18" s="5" t="s">
        <v>164</v>
      </c>
      <c r="E18" s="5" t="s">
        <v>39</v>
      </c>
      <c r="F18" s="5" t="str">
        <f t="shared" si="5"/>
        <v>470 мк</v>
      </c>
      <c r="G18" s="22">
        <v>0.1</v>
      </c>
      <c r="H18" s="22">
        <v>50</v>
      </c>
      <c r="I18" s="5" t="s">
        <v>162</v>
      </c>
      <c r="J18" s="5" t="str">
        <f t="shared" si="2"/>
        <v>Footprints\Capacitors\RADIAL-2_10MM.PcbLib</v>
      </c>
      <c r="K18" s="5" t="s">
        <v>189</v>
      </c>
      <c r="L18" s="22">
        <f t="shared" si="6"/>
        <v>470</v>
      </c>
    </row>
    <row r="19" spans="1:12" ht="15.5" x14ac:dyDescent="0.35">
      <c r="A19" s="5" t="str">
        <f t="shared" si="4"/>
        <v>Capacitor_680u_10_50V_TC_A</v>
      </c>
      <c r="B19" s="5" t="s">
        <v>165</v>
      </c>
      <c r="C19" s="5" t="s">
        <v>27</v>
      </c>
      <c r="D19" s="5" t="s">
        <v>164</v>
      </c>
      <c r="E19" s="5" t="s">
        <v>39</v>
      </c>
      <c r="F19" s="5" t="str">
        <f t="shared" si="5"/>
        <v>680 мк</v>
      </c>
      <c r="G19" s="22">
        <v>0.1</v>
      </c>
      <c r="H19" s="22">
        <v>50</v>
      </c>
      <c r="I19" s="5" t="s">
        <v>162</v>
      </c>
      <c r="J19" s="5" t="str">
        <f t="shared" si="2"/>
        <v>Footprints\Capacitors\TC_A.PcbLib</v>
      </c>
      <c r="K19" s="5" t="s">
        <v>121</v>
      </c>
      <c r="L19" s="22">
        <f t="shared" si="6"/>
        <v>680</v>
      </c>
    </row>
    <row r="20" spans="1:12" ht="15.5" x14ac:dyDescent="0.35">
      <c r="A20" s="15" t="str">
        <f t="shared" si="4"/>
        <v>Capacitor_1000u_10_50V_TC_A</v>
      </c>
      <c r="B20" s="15" t="s">
        <v>165</v>
      </c>
      <c r="C20" s="15" t="s">
        <v>27</v>
      </c>
      <c r="D20" s="15" t="s">
        <v>164</v>
      </c>
      <c r="E20" s="15" t="s">
        <v>39</v>
      </c>
      <c r="F20" s="15" t="str">
        <f t="shared" si="5"/>
        <v>1000 мк</v>
      </c>
      <c r="G20" s="23">
        <v>0.1</v>
      </c>
      <c r="H20" s="23">
        <v>50</v>
      </c>
      <c r="I20" s="15" t="s">
        <v>162</v>
      </c>
      <c r="J20" s="15" t="str">
        <f t="shared" si="2"/>
        <v>Footprints\Capacitors\TC_A.PcbLib</v>
      </c>
      <c r="K20" s="15" t="s">
        <v>121</v>
      </c>
      <c r="L20" s="23">
        <f>L14*10</f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sheetPr codeName="Лист12"/>
  <dimension ref="A1:J4"/>
  <sheetViews>
    <sheetView workbookViewId="0">
      <selection activeCell="J1" sqref="J1"/>
    </sheetView>
  </sheetViews>
  <sheetFormatPr defaultRowHeight="14.5" x14ac:dyDescent="0.35"/>
  <cols>
    <col min="1" max="1" width="14.90625" customWidth="1"/>
    <col min="2" max="2" width="13.54296875" customWidth="1"/>
    <col min="3" max="3" width="16.1796875" customWidth="1"/>
    <col min="4" max="4" width="29.26953125" customWidth="1"/>
    <col min="5" max="5" width="12.81640625" customWidth="1"/>
    <col min="6" max="6" width="27.9062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173</v>
      </c>
      <c r="I1" s="1" t="s">
        <v>25</v>
      </c>
      <c r="J1" s="1" t="s">
        <v>198</v>
      </c>
    </row>
    <row r="2" spans="1:10" x14ac:dyDescent="0.35">
      <c r="A2" s="2" t="s">
        <v>103</v>
      </c>
      <c r="B2" s="2" t="s">
        <v>104</v>
      </c>
      <c r="C2" s="2" t="str">
        <f>A2</f>
        <v>Inductance</v>
      </c>
      <c r="D2" s="2" t="str">
        <f>CONCATENATE("Schematic\",Таблица10[[#This Row],[Library Ref]],".SchLib")</f>
        <v>Schematic\Inductance.SchLib</v>
      </c>
      <c r="E2" s="2" t="s">
        <v>103</v>
      </c>
      <c r="F2" s="2" t="str">
        <f>CONCATENATE("Footprints\Inductance\",G2,".PcbLib")</f>
        <v>Footprints\Inductance\0603L.PcbLib</v>
      </c>
      <c r="G2" s="2" t="s">
        <v>105</v>
      </c>
      <c r="H2" s="2" t="s">
        <v>177</v>
      </c>
      <c r="I2" s="2" t="s">
        <v>178</v>
      </c>
    </row>
    <row r="3" spans="1:10" x14ac:dyDescent="0.35">
      <c r="A3" s="2" t="s">
        <v>176</v>
      </c>
      <c r="B3" s="2" t="s">
        <v>175</v>
      </c>
      <c r="C3" s="2" t="str">
        <f>A3</f>
        <v>BLM18AG601SH1</v>
      </c>
      <c r="D3" s="2" t="str">
        <f>CONCATENATE("Schematic\",Таблица10[[#This Row],[Library Ref]],".SchLib")</f>
        <v>Schematic\Ferrite_bead.SchLib</v>
      </c>
      <c r="E3" s="2" t="s">
        <v>174</v>
      </c>
      <c r="F3" s="2" t="str">
        <f>CONCATENATE("Footprints\Inductance\",G3,".PcbLib")</f>
        <v>Footprints\Inductance\0603L.PcbLib</v>
      </c>
      <c r="G3" s="2" t="s">
        <v>105</v>
      </c>
      <c r="H3" s="2"/>
      <c r="I3" s="2"/>
    </row>
    <row r="4" spans="1:10" x14ac:dyDescent="0.35">
      <c r="A4" s="2" t="s">
        <v>199</v>
      </c>
      <c r="B4" s="2" t="s">
        <v>104</v>
      </c>
      <c r="C4" s="2" t="str">
        <f>A4</f>
        <v>CDRH104NP-680MC</v>
      </c>
      <c r="D4" s="2" t="str">
        <f>CONCATENATE("Schematic\",Таблица10[[#This Row],[Library Ref]],".SchLib")</f>
        <v>Schematic\Inductance.SchLib</v>
      </c>
      <c r="E4" s="2" t="s">
        <v>103</v>
      </c>
      <c r="F4" s="2" t="str">
        <f>CONCATENATE("Footprints\Inductance\",G4,".PcbLib")</f>
        <v>Footprints\Inductance\10x10L.PcbLib</v>
      </c>
      <c r="G4" s="2" t="s">
        <v>197</v>
      </c>
      <c r="H4" s="2" t="s">
        <v>195</v>
      </c>
      <c r="I4" s="2" t="s">
        <v>196</v>
      </c>
      <c r="J4">
        <v>930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8"/>
  <sheetViews>
    <sheetView tabSelected="1" workbookViewId="0">
      <selection activeCell="D8" sqref="D8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38.26953125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 t="shared" ref="C2:C7" si="0">A2</f>
        <v>Tact_button</v>
      </c>
      <c r="D2" t="str">
        <f>CONCATENATE("Schematic\",Таблица8[[#This Row],[Library Ref]],".SchLib")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 t="shared" si="0"/>
        <v>LED</v>
      </c>
      <c r="D3" t="str">
        <f>CONCATENATE("Schematic\",Таблица8[[#This Row],[Library Ref]],".SchLib")</f>
        <v>Schematic\LED.SchLib</v>
      </c>
      <c r="E3" t="str">
        <f>A3</f>
        <v>LED</v>
      </c>
      <c r="F3" t="str">
        <f>CONCATENATE("Footprints\LED\",G7,".PcbLib")</f>
        <v>Footprints\LED\LED_ANGULAR_2.PcbLib</v>
      </c>
      <c r="G3" t="s">
        <v>120</v>
      </c>
    </row>
    <row r="4" spans="1:20" x14ac:dyDescent="0.35">
      <c r="A4" t="s">
        <v>61</v>
      </c>
      <c r="B4" t="s">
        <v>62</v>
      </c>
      <c r="C4" t="str">
        <f t="shared" si="0"/>
        <v>XTAL</v>
      </c>
      <c r="D4" t="str">
        <f>CONCATENATE("Schematic\",Таблица8[[#This Row],[Library Ref]],".SchLib")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126</v>
      </c>
    </row>
    <row r="5" spans="1:20" x14ac:dyDescent="0.35">
      <c r="A5" t="s">
        <v>63</v>
      </c>
      <c r="B5" t="s">
        <v>64</v>
      </c>
      <c r="C5" t="str">
        <f t="shared" si="0"/>
        <v>XTAL_GND</v>
      </c>
      <c r="D5" t="str">
        <f>CONCATENATE("Schematic\",Таблица8[[#This Row],[Library Ref]],".SchLib")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7" t="s">
        <v>170</v>
      </c>
      <c r="B6" s="7" t="s">
        <v>171</v>
      </c>
      <c r="C6" s="7" t="str">
        <f t="shared" si="0"/>
        <v>Jumper</v>
      </c>
      <c r="D6" s="7" t="str">
        <f>CONCATENATE("Schematic\",Таблица8[[#This Row],[Library Ref]],".SchLib")</f>
        <v>Schematic\Jumper.SchLib</v>
      </c>
      <c r="E6" s="7" t="str">
        <f>A6</f>
        <v>Jumper</v>
      </c>
      <c r="F6" t="str">
        <f>CONCATENATE("Footprints\",G6,".PcbLib")</f>
        <v>Footprints\Jumper.PcbLib</v>
      </c>
      <c r="G6" s="7" t="s">
        <v>170</v>
      </c>
      <c r="H6" s="7"/>
      <c r="I6" s="7"/>
    </row>
    <row r="7" spans="1:20" x14ac:dyDescent="0.35">
      <c r="A7" s="7" t="s">
        <v>203</v>
      </c>
      <c r="B7" s="7" t="s">
        <v>204</v>
      </c>
      <c r="C7" s="7" t="str">
        <f t="shared" si="0"/>
        <v>WP934MD-LILGD</v>
      </c>
      <c r="D7" s="7" t="str">
        <f>CONCATENATE("Schematic\",Таблица8[[#This Row],[Library Ref]],".SchLib")</f>
        <v>Schematic\WP934MD-LILGD.SchLib</v>
      </c>
      <c r="E7" s="7" t="str">
        <f>Таблица8[[#This Row],[Part Number]]</f>
        <v>WP934MD-LILGD</v>
      </c>
      <c r="F7" s="7" t="str">
        <f>CONCATENATE("Footprints\LED\",G7,".PcbLib")</f>
        <v>Footprints\LED\LED_ANGULAR_2.PcbLib</v>
      </c>
      <c r="G7" s="7" t="s">
        <v>205</v>
      </c>
      <c r="H7" s="7"/>
      <c r="I7" s="7"/>
    </row>
    <row r="8" spans="1:20" x14ac:dyDescent="0.35">
      <c r="A8" s="7" t="s">
        <v>206</v>
      </c>
      <c r="B8" s="7" t="s">
        <v>207</v>
      </c>
      <c r="C8" s="7" t="str">
        <f>A8</f>
        <v>LED_ANGULAR</v>
      </c>
      <c r="D8" s="7" t="str">
        <f>CONCATENATE("Schematic\",Таблица8[[#This Row],[Library Ref]],".SchLib")</f>
        <v>Schematic\LED.SchLib</v>
      </c>
      <c r="E8" s="7" t="s">
        <v>59</v>
      </c>
      <c r="F8" s="7" t="str">
        <f>CONCATENATE("Footprints\LED\",G8,".PcbLib")</f>
        <v>Footprints\LED\LED_ANGULAR.PcbLib</v>
      </c>
      <c r="G8" s="7" t="s">
        <v>206</v>
      </c>
      <c r="H8" s="7"/>
      <c r="I8" s="7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8"/>
  <sheetViews>
    <sheetView workbookViewId="0">
      <selection activeCell="D9" sqref="D9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33.5429687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110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111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106</v>
      </c>
      <c r="B4" t="s">
        <v>107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112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108</v>
      </c>
      <c r="B5" t="s">
        <v>109</v>
      </c>
      <c r="C5" s="2" t="str">
        <f t="shared" si="2"/>
        <v>CWF-5</v>
      </c>
      <c r="D5" t="str">
        <f t="shared" si="0"/>
        <v>Schematic\Connectors\Conn_5pin.SchLib</v>
      </c>
      <c r="E5" s="2" t="s">
        <v>113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114</v>
      </c>
      <c r="B6" t="s">
        <v>115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116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117</v>
      </c>
      <c r="B7" t="s">
        <v>118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119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  <row r="8" spans="1:9" x14ac:dyDescent="0.35">
      <c r="A8" t="s">
        <v>200</v>
      </c>
      <c r="B8" t="s">
        <v>202</v>
      </c>
      <c r="C8" s="2" t="str">
        <f>A8</f>
        <v>CWF-6</v>
      </c>
      <c r="D8" s="7" t="str">
        <f>CONCATENATE("Schematic\Connectors\",E8,".SchLib")</f>
        <v>Schematic\Connectors\Conn_6pin.SchLib</v>
      </c>
      <c r="E8" s="2" t="s">
        <v>201</v>
      </c>
      <c r="F8" s="7" t="str">
        <f>CONCATENATE("Footprints\Connectors\",IF(ISNUMBER(FIND("PLS",A8)),"PLS\",),IF(ISNUMBER(FIND("CWF",A8)),"CWF\",),G8,".PcbLib")</f>
        <v>Footprints\Connectors\CWF\CWF-6.PcbLib</v>
      </c>
      <c r="G8" t="str">
        <f>A8</f>
        <v>CWF-6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2024-12-07T18:44:12Z</dcterms:modified>
</cp:coreProperties>
</file>
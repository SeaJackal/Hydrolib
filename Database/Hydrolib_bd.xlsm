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A5049885-DE01-4A62-A0BD-B3923F0AFF3C}" xr6:coauthVersionLast="47" xr6:coauthVersionMax="47" xr10:uidLastSave="{00000000-0000-0000-0000-000000000000}"/>
  <bookViews>
    <workbookView xWindow="-110" yWindow="-110" windowWidth="25820" windowHeight="14020" firstSheet="5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12" l="1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A3" i="11"/>
  <c r="A4" i="11"/>
  <c r="A5" i="11"/>
  <c r="A6" i="11"/>
  <c r="A7" i="11"/>
  <c r="A8" i="11"/>
  <c r="A9" i="11"/>
  <c r="A10" i="11"/>
  <c r="A11" i="11"/>
  <c r="A12" i="11"/>
  <c r="A13" i="11"/>
  <c r="A2" i="11"/>
  <c r="F3" i="11"/>
  <c r="F4" i="11"/>
  <c r="F5" i="11"/>
  <c r="F6" i="11"/>
  <c r="F7" i="11"/>
  <c r="F8" i="11"/>
  <c r="F9" i="11"/>
  <c r="F10" i="11"/>
  <c r="F11" i="11"/>
  <c r="F12" i="11"/>
  <c r="F13" i="11"/>
  <c r="F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A37" i="11" s="1"/>
  <c r="L24" i="11"/>
  <c r="L36" i="11" s="1"/>
  <c r="A36" i="11" s="1"/>
  <c r="L23" i="11"/>
  <c r="L35" i="11" s="1"/>
  <c r="A35" i="11" s="1"/>
  <c r="L22" i="11"/>
  <c r="L34" i="11" s="1"/>
  <c r="A34" i="11" s="1"/>
  <c r="L21" i="11"/>
  <c r="L33" i="11" s="1"/>
  <c r="F33" i="11" s="1"/>
  <c r="L20" i="11"/>
  <c r="A20" i="11" s="1"/>
  <c r="L19" i="11"/>
  <c r="L31" i="11" s="1"/>
  <c r="F31" i="11" s="1"/>
  <c r="L18" i="11"/>
  <c r="F18" i="11" s="1"/>
  <c r="L17" i="11"/>
  <c r="F17" i="11" s="1"/>
  <c r="L16" i="11"/>
  <c r="L28" i="11" s="1"/>
  <c r="F28" i="11" s="1"/>
  <c r="L15" i="11"/>
  <c r="F15" i="11" s="1"/>
  <c r="L14" i="11"/>
  <c r="L26" i="11" s="1"/>
  <c r="L38" i="11" s="1"/>
  <c r="A38" i="11" s="1"/>
  <c r="J2" i="1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B167" i="2" s="1"/>
  <c r="F166" i="2"/>
  <c r="B166" i="2" s="1"/>
  <c r="F165" i="2"/>
  <c r="B165" i="2" s="1"/>
  <c r="F164" i="2"/>
  <c r="B164" i="2" s="1"/>
  <c r="F163" i="2"/>
  <c r="B163" i="2" s="1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B156" i="2" s="1"/>
  <c r="F155" i="2"/>
  <c r="A155" i="2" s="1"/>
  <c r="F154" i="2"/>
  <c r="A154" i="2" s="1"/>
  <c r="F153" i="2"/>
  <c r="A153" i="2" s="1"/>
  <c r="F152" i="2"/>
  <c r="B152" i="2" s="1"/>
  <c r="F151" i="2"/>
  <c r="B151" i="2" s="1"/>
  <c r="F150" i="2"/>
  <c r="B150" i="2" s="1"/>
  <c r="F149" i="2"/>
  <c r="B149" i="2" s="1"/>
  <c r="F148" i="2"/>
  <c r="B148" i="2" s="1"/>
  <c r="F147" i="2"/>
  <c r="B147" i="2" s="1"/>
  <c r="F146" i="2"/>
  <c r="A146" i="2" s="1"/>
  <c r="F121" i="2"/>
  <c r="A121" i="2" s="1"/>
  <c r="F119" i="2"/>
  <c r="B119" i="2" s="1"/>
  <c r="F118" i="2"/>
  <c r="B118" i="2" s="1"/>
  <c r="F117" i="2"/>
  <c r="B117" i="2" s="1"/>
  <c r="F114" i="2"/>
  <c r="A114" i="2" s="1"/>
  <c r="F108" i="2"/>
  <c r="A108" i="2" s="1"/>
  <c r="F106" i="2"/>
  <c r="A106" i="2" s="1"/>
  <c r="F104" i="2"/>
  <c r="B104" i="2" s="1"/>
  <c r="F103" i="2"/>
  <c r="B103" i="2" s="1"/>
  <c r="F102" i="2"/>
  <c r="B102" i="2" s="1"/>
  <c r="F101" i="2"/>
  <c r="B101" i="2" s="1"/>
  <c r="F100" i="2"/>
  <c r="B100" i="2" s="1"/>
  <c r="F99" i="2"/>
  <c r="B99" i="2" s="1"/>
  <c r="F98" i="2"/>
  <c r="A98" i="2" s="1"/>
  <c r="F96" i="2"/>
  <c r="A96" i="2" s="1"/>
  <c r="F95" i="2"/>
  <c r="A95" i="2" s="1"/>
  <c r="F91" i="2"/>
  <c r="A91" i="2" s="1"/>
  <c r="F90" i="2"/>
  <c r="A90" i="2" s="1"/>
  <c r="F88" i="2"/>
  <c r="B88" i="2" s="1"/>
  <c r="F87" i="2"/>
  <c r="B87" i="2" s="1"/>
  <c r="F86" i="2"/>
  <c r="B86" i="2" s="1"/>
  <c r="F84" i="2"/>
  <c r="B84" i="2" s="1"/>
  <c r="F83" i="2"/>
  <c r="B83" i="2" s="1"/>
  <c r="F82" i="2"/>
  <c r="A82" i="2" s="1"/>
  <c r="F81" i="2"/>
  <c r="B81" i="2" s="1"/>
  <c r="F80" i="2"/>
  <c r="A80" i="2" s="1"/>
  <c r="F79" i="2"/>
  <c r="F113" i="2" s="1"/>
  <c r="F78" i="2"/>
  <c r="A78" i="2" s="1"/>
  <c r="F77" i="2"/>
  <c r="A77" i="2" s="1"/>
  <c r="F76" i="2"/>
  <c r="A76" i="2" s="1"/>
  <c r="F75" i="2"/>
  <c r="A75" i="2" s="1"/>
  <c r="F74" i="2"/>
  <c r="A74" i="2" s="1"/>
  <c r="F73" i="2"/>
  <c r="F72" i="2"/>
  <c r="F144" i="2" s="1"/>
  <c r="A144" i="2" s="1"/>
  <c r="F71" i="2"/>
  <c r="F143" i="2" s="1"/>
  <c r="A143" i="2" s="1"/>
  <c r="F70" i="2"/>
  <c r="A70" i="2" s="1"/>
  <c r="F69" i="2"/>
  <c r="B69" i="2" s="1"/>
  <c r="F68" i="2"/>
  <c r="A68" i="2" s="1"/>
  <c r="F67" i="2"/>
  <c r="B67" i="2" s="1"/>
  <c r="F66" i="2"/>
  <c r="F138" i="2" s="1"/>
  <c r="A138" i="2" s="1"/>
  <c r="F65" i="2"/>
  <c r="B65" i="2" s="1"/>
  <c r="F64" i="2"/>
  <c r="A64" i="2" s="1"/>
  <c r="F63" i="2"/>
  <c r="F135" i="2" s="1"/>
  <c r="B135" i="2" s="1"/>
  <c r="F62" i="2"/>
  <c r="F134" i="2" s="1"/>
  <c r="B134" i="2" s="1"/>
  <c r="F61" i="2"/>
  <c r="F133" i="2" s="1"/>
  <c r="B133" i="2" s="1"/>
  <c r="F60" i="2"/>
  <c r="F59" i="2"/>
  <c r="F58" i="2"/>
  <c r="F130" i="2" s="1"/>
  <c r="A130" i="2" s="1"/>
  <c r="F57" i="2"/>
  <c r="F56" i="2"/>
  <c r="F128" i="2" s="1"/>
  <c r="A128" i="2" s="1"/>
  <c r="F55" i="2"/>
  <c r="F127" i="2" s="1"/>
  <c r="A127" i="2" s="1"/>
  <c r="F54" i="2"/>
  <c r="F126" i="2" s="1"/>
  <c r="A126" i="2" s="1"/>
  <c r="F53" i="2"/>
  <c r="F125" i="2" s="1"/>
  <c r="F116" i="2" s="1"/>
  <c r="F52" i="2"/>
  <c r="F124" i="2" s="1"/>
  <c r="F115" i="2" s="1"/>
  <c r="F51" i="2"/>
  <c r="F123" i="2" s="1"/>
  <c r="A123" i="2" s="1"/>
  <c r="F50" i="2"/>
  <c r="F122" i="2" s="1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  <c r="L15" i="12" l="1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F23" i="11"/>
  <c r="A33" i="11"/>
  <c r="F22" i="11"/>
  <c r="A26" i="11"/>
  <c r="F21" i="11"/>
  <c r="A23" i="11"/>
  <c r="A22" i="11"/>
  <c r="A17" i="11"/>
  <c r="F35" i="11"/>
  <c r="F34" i="11"/>
  <c r="A18" i="11"/>
  <c r="A16" i="11"/>
  <c r="F26" i="11"/>
  <c r="A31" i="11"/>
  <c r="A15" i="11"/>
  <c r="F25" i="11"/>
  <c r="A14" i="11"/>
  <c r="F24" i="11"/>
  <c r="A28" i="11"/>
  <c r="F38" i="11"/>
  <c r="F36" i="11"/>
  <c r="F20" i="11"/>
  <c r="A25" i="11"/>
  <c r="F19" i="11"/>
  <c r="A24" i="11"/>
  <c r="F37" i="11"/>
  <c r="F16" i="11"/>
  <c r="A21" i="11"/>
  <c r="F14" i="11"/>
  <c r="A19" i="11"/>
  <c r="L27" i="11"/>
  <c r="L29" i="11"/>
  <c r="L30" i="11"/>
  <c r="A167" i="2"/>
  <c r="A156" i="2"/>
  <c r="A151" i="2"/>
  <c r="A86" i="2"/>
  <c r="B160" i="2"/>
  <c r="L32" i="11"/>
  <c r="A152" i="2"/>
  <c r="A134" i="2"/>
  <c r="A118" i="2"/>
  <c r="F139" i="2"/>
  <c r="A139" i="2" s="1"/>
  <c r="A102" i="2"/>
  <c r="A100" i="2"/>
  <c r="A81" i="2"/>
  <c r="A65" i="2"/>
  <c r="A54" i="2"/>
  <c r="B115" i="2"/>
  <c r="A115" i="2"/>
  <c r="B116" i="2"/>
  <c r="A116" i="2"/>
  <c r="A113" i="2"/>
  <c r="B113" i="2"/>
  <c r="F142" i="2"/>
  <c r="A104" i="2"/>
  <c r="A88" i="2"/>
  <c r="A72" i="2"/>
  <c r="A56" i="2"/>
  <c r="B162" i="2"/>
  <c r="B146" i="2"/>
  <c r="B130" i="2"/>
  <c r="B114" i="2"/>
  <c r="B98" i="2"/>
  <c r="B82" i="2"/>
  <c r="B66" i="2"/>
  <c r="B50" i="2"/>
  <c r="A135" i="2"/>
  <c r="A119" i="2"/>
  <c r="A103" i="2"/>
  <c r="A87" i="2"/>
  <c r="A71" i="2"/>
  <c r="A55" i="2"/>
  <c r="B161" i="2"/>
  <c r="B96" i="2"/>
  <c r="B80" i="2"/>
  <c r="B64" i="2"/>
  <c r="B144" i="2"/>
  <c r="B128" i="2"/>
  <c r="F129" i="2"/>
  <c r="F145" i="2"/>
  <c r="F89" i="2"/>
  <c r="F105" i="2"/>
  <c r="A165" i="2"/>
  <c r="A149" i="2"/>
  <c r="A133" i="2"/>
  <c r="A117" i="2"/>
  <c r="A101" i="2"/>
  <c r="A69" i="2"/>
  <c r="A53" i="2"/>
  <c r="B159" i="2"/>
  <c r="B143" i="2"/>
  <c r="B127" i="2"/>
  <c r="B95" i="2"/>
  <c r="B79" i="2"/>
  <c r="B63" i="2"/>
  <c r="A148" i="2"/>
  <c r="A84" i="2"/>
  <c r="A52" i="2"/>
  <c r="B158" i="2"/>
  <c r="B126" i="2"/>
  <c r="B78" i="2"/>
  <c r="B62" i="2"/>
  <c r="A164" i="2"/>
  <c r="F131" i="2"/>
  <c r="F107" i="2"/>
  <c r="A163" i="2"/>
  <c r="A147" i="2"/>
  <c r="A99" i="2"/>
  <c r="A83" i="2"/>
  <c r="A67" i="2"/>
  <c r="A51" i="2"/>
  <c r="B157" i="2"/>
  <c r="B125" i="2"/>
  <c r="B77" i="2"/>
  <c r="B61" i="2"/>
  <c r="F132" i="2"/>
  <c r="F92" i="2"/>
  <c r="A66" i="2"/>
  <c r="A50" i="2"/>
  <c r="B124" i="2"/>
  <c r="B108" i="2"/>
  <c r="B76" i="2"/>
  <c r="B60" i="2"/>
  <c r="F109" i="2"/>
  <c r="B155" i="2"/>
  <c r="B123" i="2"/>
  <c r="B91" i="2"/>
  <c r="B75" i="2"/>
  <c r="B59" i="2"/>
  <c r="F94" i="2"/>
  <c r="F110" i="2"/>
  <c r="B170" i="2"/>
  <c r="B154" i="2"/>
  <c r="B138" i="2"/>
  <c r="B122" i="2"/>
  <c r="B106" i="2"/>
  <c r="B90" i="2"/>
  <c r="B74" i="2"/>
  <c r="B58" i="2"/>
  <c r="F93" i="2"/>
  <c r="F111" i="2"/>
  <c r="A79" i="2"/>
  <c r="A63" i="2"/>
  <c r="B153" i="2"/>
  <c r="B121" i="2"/>
  <c r="B73" i="2"/>
  <c r="B57" i="2"/>
  <c r="F136" i="2"/>
  <c r="F112" i="2"/>
  <c r="A62" i="2"/>
  <c r="B72" i="2"/>
  <c r="B56" i="2"/>
  <c r="F137" i="2"/>
  <c r="F168" i="2"/>
  <c r="A125" i="2"/>
  <c r="A61" i="2"/>
  <c r="B71" i="2"/>
  <c r="B55" i="2"/>
  <c r="A124" i="2"/>
  <c r="A60" i="2"/>
  <c r="B70" i="2"/>
  <c r="B54" i="2"/>
  <c r="F169" i="2"/>
  <c r="A59" i="2"/>
  <c r="B53" i="2"/>
  <c r="F140" i="2"/>
  <c r="A58" i="2"/>
  <c r="B68" i="2"/>
  <c r="B52" i="2"/>
  <c r="F141" i="2"/>
  <c r="F85" i="2"/>
  <c r="A73" i="2"/>
  <c r="A57" i="2"/>
  <c r="B51" i="2"/>
  <c r="F15" i="12" l="1"/>
  <c r="A19" i="12"/>
  <c r="F19" i="12"/>
  <c r="A20" i="12"/>
  <c r="F20" i="12"/>
  <c r="F32" i="11"/>
  <c r="A32" i="11"/>
  <c r="F30" i="11"/>
  <c r="A30" i="11"/>
  <c r="A29" i="11"/>
  <c r="F29" i="11"/>
  <c r="A27" i="11"/>
  <c r="F27" i="11"/>
  <c r="B139" i="2"/>
  <c r="A129" i="2"/>
  <c r="F120" i="2"/>
  <c r="B129" i="2"/>
  <c r="A111" i="2"/>
  <c r="B111" i="2"/>
  <c r="A93" i="2"/>
  <c r="B93" i="2"/>
  <c r="B85" i="2"/>
  <c r="A85" i="2"/>
  <c r="A109" i="2"/>
  <c r="B109" i="2"/>
  <c r="B168" i="2"/>
  <c r="A168" i="2"/>
  <c r="A137" i="2"/>
  <c r="B137" i="2"/>
  <c r="A141" i="2"/>
  <c r="B141" i="2"/>
  <c r="A107" i="2"/>
  <c r="F97" i="2"/>
  <c r="B107" i="2"/>
  <c r="B131" i="2"/>
  <c r="A131" i="2"/>
  <c r="A112" i="2"/>
  <c r="B112" i="2"/>
  <c r="A142" i="2"/>
  <c r="B142" i="2"/>
  <c r="A92" i="2"/>
  <c r="B92" i="2"/>
  <c r="B136" i="2"/>
  <c r="A136" i="2"/>
  <c r="A169" i="2"/>
  <c r="B169" i="2"/>
  <c r="A110" i="2"/>
  <c r="B110" i="2"/>
  <c r="B132" i="2"/>
  <c r="A132" i="2"/>
  <c r="A94" i="2"/>
  <c r="B94" i="2"/>
  <c r="A105" i="2"/>
  <c r="B105" i="2"/>
  <c r="A140" i="2"/>
  <c r="B140" i="2"/>
  <c r="A89" i="2"/>
  <c r="B89" i="2"/>
  <c r="A145" i="2"/>
  <c r="B145" i="2"/>
  <c r="A97" i="2" l="1"/>
  <c r="B97" i="2"/>
  <c r="B120" i="2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2FF60889-90F6-4068-BF81-A15AE486C249}" name="Other" type="4" refreshedVersion="0" background="1">
    <webPr xml="1" sourceData="1" url="C:\Users\1\Desktop\testlib\Готовое\Other.xml" htmlTables="1" htmlFormat="all"/>
  </connection>
  <connection id="10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1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2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3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4" xr16:uid="{D8C58BCC-C573-42A7-95CA-60E0EBCAC4FF}" name="TVS" type="4" refreshedVersion="0" background="1">
    <webPr xml="1" sourceData="1" url="C:\Users\1\Desktop\testlib\Готовое\TVS.xml" htmlTables="1" htmlFormat="all"/>
  </connection>
  <connection id="15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<sst xmlns="http://schemas.openxmlformats.org/spreadsheetml/2006/main" count="1475" uniqueCount="178">
  <si>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</si>
  <si>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</si>
  <si>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</si>
  <si>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</si>
  <si>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</si>
  <si>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</si>
  <si>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</si>
  <si>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</si>
  <si>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</si>
  <si>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</si>
  <si>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</si>
  <si>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</si>
  <si>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</si>
  <si>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</si>
  <si>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</si>
  <si>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</si>
  <si>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</si>
  <si>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</si>
  <si>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</si>
  <si>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</si>
  <si>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</si>
  <si>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</si>
  <si>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</si>
  <si>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</si>
  <si>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</si>
  <si>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</si>
  <si>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</si>
  <si>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</si>
  <si>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</si>
  <si>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</si>
  <si>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</si>
  <si>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</si>
  <si>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</si>
  <si>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</si>
  <si>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</si>
  <si>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</si>
  <si>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</si>
  <si>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</si>
  <si>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</si>
  <si>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</si>
  <si>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</si>
  <si>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</si>
  <si>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</si>
  <si>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</si>
  <si>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</si>
  <si>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</si>
  <si>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</si>
  <si>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</si>
  <si>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</si>
  <si>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</si>
  <si>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</si>
  <si>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</si>
  <si>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</si>
  <si>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</si>
  <si>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</si>
  <si>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</si>
  <si>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</si>
  <si>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</si>
  <si>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</si>
  <si>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</si>
  <si>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</si>
  <si>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</si>
  <si>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</si>
  <si>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</si>
  <si>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</si>
  <si>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</si>
  <si>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</si>
  <si>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</si>
  <si>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</si>
  <si>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</si>
  <si>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</si>
  <si>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</si>
  <si>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</si>
  <si>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</si>
  <si>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</si>
  <si>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</si>
  <si>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</si>
  <si>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</si>
  <si>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</si>
  <si>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</si>
  <si>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</si>
  <si>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</si>
  <si>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</si>
  <si>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</si>
  <si>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</si>
  <si>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</si>
  <si>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</si>
  <si>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</si>
  <si>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</si>
  <si>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</si>
  <si>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</si>
  <si>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</si>
  <si>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</si>
  <si>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</si>
  <si>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</si>
  <si>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</si>
  <si>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</si>
  <si>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</si>
  <si>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</si>
  <si>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</si>
  <si>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</si>
  <si>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</si>
  <si>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</si>
  <si>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</si>
  <si>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</si>
  <si>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</si>
  <si>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</si>
  <si>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</si>
  <si>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</si>
  <si>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</si>
  <si>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</si>
  <si>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</si>
  <si>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</si>
  <si>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</si>
  <si>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</si>
  <si>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</si>
  <si>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</si>
  <si>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</si>
  <si>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</si>
  <si>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</si>
  <si>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</si>
  <si>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</si>
  <si>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</si>
  <si>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</si>
  <si>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</si>
  <si>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</si>
  <si>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</si>
  <si>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</si>
  <si>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</si>
  <si>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</si>
  <si>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</si>
  <si>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</si>
  <si>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</si>
  <si>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</si>
  <si>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</si>
  <si>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</si>
  <si>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</si>
  <si>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</si>
  <si>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</si>
  <si>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</si>
  <si>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</si>
  <si>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</si>
  <si>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</si>
  <si>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</si>
  <si>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</si>
  <si>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</si>
  <si>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</si>
  <si>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</si>
  <si>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</si>
  <si>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</si>
  <si>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</si>
  <si>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8,3</t>
  </si>
  <si>
    <t>9,1</t>
  </si>
  <si>
    <t>Tolerance</t>
  </si>
  <si>
    <t>SOIC-16</t>
  </si>
  <si>
    <t>27</t>
  </si>
  <si>
    <t>30</t>
  </si>
  <si>
    <t>33</t>
  </si>
  <si>
    <t>36</t>
  </si>
  <si>
    <t>39</t>
  </si>
  <si>
    <t>43</t>
  </si>
  <si>
    <t>47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</si>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</sst>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8" DataBindingLoadMode="1"/>
  </Map>
  <Map ID="11" Name="Other" RootElement="Other" SchemaID="Schema11" ShowImportExportValidationErrors="false" AutoFit="true" Append="false" PreserveSortAFLayout="true" PreserveFormat="true">
    <DataBinding FileBinding="true" ConnectionID="9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1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2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3" DataBindingLoadMode="1"/>
  </Map>
  <Map ID="6" Name="TVS" RootElement="TVS" SchemaID="Schema6" ShowImportExportValidationErrors="false" AutoFit="true" Append="false" PreserveSortAFLayout="true" PreserveFormat="true">
    <DataBinding FileBinding="true" ConnectionID="14" DataBindingLoadMode="1"/>
  </Map>
  <Map ID="5" Name="Zener" RootElement="Zener" SchemaID="Schema5" ShowImportExportValidationErrors="false" AutoFit="true" Append="false" PreserveSortAFLayout="true" PreserveFormat="true">
    <DataBinding FileBinding="true" ConnectionID="1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103" connectionId="6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2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5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101" connectionId="14">
  <autoFilter ref="A1:K4" xr:uid="{35EAFB53-5120-48E8-B7CF-F527619EF3EB}"/>
  <tableColumns count="11">
    <tableColumn id="1" xr3:uid="{8FF51BCB-1CBC-41C4-B0E3-6994AEB249EF}" uniqueName="PartNumber" name="Part Number" dataDxfId="100">
      <xmlColumnPr mapId="6" xpath="/TVS/Part/PartNumber" xmlDataType="string"/>
    </tableColumn>
    <tableColumn id="2" xr3:uid="{254709FF-71DC-4C18-A11E-3F482A74905F}" uniqueName="Description" name="Description" dataDxfId="9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6">
      <xmlColumnPr mapId="6" xpath="/TVS/Part/LibraryRef" xmlDataType="string"/>
    </tableColumn>
    <tableColumn id="6" xr3:uid="{C5C7E783-B9B8-469C-B255-FC24F12E71DC}" uniqueName="FootprintPath1" name="Footprint Path 1" dataDxfId="9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4">
      <xmlColumnPr mapId="6" xpath="/TVS/Part/FootprintRef1" xmlDataType="string"/>
    </tableColumn>
    <tableColumn id="8" xr3:uid="{16B3AEE3-BEA7-4870-9494-F8A0EC5E9CCD}" uniqueName="VoltageNominal" name="Voltage nominal (V)" dataDxfId="93">
      <xmlColumnPr mapId="6" xpath="/TVS/Part/VoltageNominal" xmlDataType="string"/>
    </tableColumn>
    <tableColumn id="9" xr3:uid="{7DDE345A-D145-4A55-B781-91F88095B1FE}" uniqueName="Power" name="Power (W)" dataDxfId="92">
      <xmlColumnPr mapId="6" xpath="/TVS/Part/Power" xmlDataType="string"/>
    </tableColumn>
    <tableColumn id="10" xr3:uid="{EBB777BC-3BC6-4EF4-AC63-F94C7CFCFC0E}" uniqueName="Value" name="Value" dataDxfId="9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0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89" connectionId="13">
  <autoFilter ref="A1:I6" xr:uid="{11DAD5D3-6841-4BFD-8583-65DE6E00D680}"/>
  <tableColumns count="9">
    <tableColumn id="1" xr3:uid="{59488B22-9EFD-4960-9418-72616CC8F6CC}" uniqueName="PartNumber" name="Part Number" dataDxfId="88">
      <xmlColumnPr mapId="8" xpath="/Transistors/Part/PartNumber" xmlDataType="string"/>
    </tableColumn>
    <tableColumn id="2" xr3:uid="{B6051881-2BC5-4D5F-9AEE-A86DF4412A4C}" uniqueName="Description" name="Description" dataDxfId="87">
      <xmlColumnPr mapId="8" xpath="/Transistors/Part/Description" xmlDataType="string"/>
    </tableColumn>
    <tableColumn id="3" xr3:uid="{377CEA9C-B3A1-4F57-920A-BA1AC9164370}" uniqueName="Comment" name="Comment" dataDxfId="8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5">
      <xmlColumnPr mapId="8" xpath="/Transistors/Part/LibraryPath" xmlDataType="string"/>
    </tableColumn>
    <tableColumn id="5" xr3:uid="{02693066-D721-4B47-BEE5-D678B96A10FB}" uniqueName="LibraryRef" name="Library Ref" dataDxfId="8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82" dataDxfId="81" connectionId="11">
  <autoFilter ref="A1:I170" xr:uid="{02061886-A591-4FD8-8C5B-3D1D2DB1F417}"/>
  <tableColumns count="9">
    <tableColumn id="1" xr3:uid="{1DE1C76C-B7F9-47FB-9EB0-156A2D87FD9E}" uniqueName="PartNumber" name="Part Number" dataDxfId="80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79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8">
      <xmlColumnPr mapId="38" xpath="/Resistors/Part/Comment" xmlDataType="string"/>
    </tableColumn>
    <tableColumn id="4" xr3:uid="{255B034D-70D9-458C-8FA7-FEB8317A497F}" uniqueName="LibraryPath" name="Library Path" dataDxfId="77">
      <xmlColumnPr mapId="38" xpath="/Resistors/Part/LibraryPath" xmlDataType="string"/>
    </tableColumn>
    <tableColumn id="5" xr3:uid="{A3865419-9EA5-4AAA-B07F-FF52D437DC02}" uniqueName="LibraryRef" name="Library Ref" dataDxfId="76">
      <xmlColumnPr mapId="38" xpath="/Resistors/Part/LibraryRef" xmlDataType="string"/>
    </tableColumn>
    <tableColumn id="6" xr3:uid="{CE64E0F7-2F9E-477F-8D1B-040D90CB5685}" uniqueName="Value" name="Value" dataDxfId="75">
      <xmlColumnPr mapId="38" xpath="/Resistors/Part/Value" xmlDataType="string"/>
    </tableColumn>
    <tableColumn id="7" xr3:uid="{41F7703B-5A2D-47F6-B9C9-B9D386FC3CF8}" uniqueName="Tolerance" name="Tolerance" dataDxfId="74">
      <xmlColumnPr mapId="38" xpath="/Resistors/Part/Tolerance" xmlDataType="double"/>
    </tableColumn>
    <tableColumn id="8" xr3:uid="{429E7452-DB30-417B-B5E7-8F2AA238A5A4}" uniqueName="FootprintPath1" name="Footprint Path 1" dataDxfId="73">
      <xmlColumnPr mapId="38" xpath="/Resistors/Part/FootprintPath1" xmlDataType="string"/>
    </tableColumn>
    <tableColumn id="9" xr3:uid="{298A4272-57F5-45C2-AFCD-965909B2DD40}" uniqueName="FootprintRef1" name="Footprint Ref 1" dataDxfId="72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1" dataDxfId="70" connectionId="1">
  <autoFilter ref="A1:T3" xr:uid="{1041C5C1-00FD-47DC-8B7C-9DEBE212D9D4}"/>
  <tableColumns count="20">
    <tableColumn id="1" xr3:uid="{55BDD111-6381-449E-BF2B-3FEC8107762D}" uniqueName="PartNumber" name="Part Number" dataDxfId="69">
      <xmlColumnPr mapId="18" xpath="/Capacitors/Part/PartNumber" xmlDataType="string"/>
    </tableColumn>
    <tableColumn id="2" xr3:uid="{0D3E1F2C-B0CC-4A36-A41B-2F2DAEC98E3B}" uniqueName="Description" name="Description" dataDxfId="68">
      <xmlColumnPr mapId="18" xpath="/Capacitors/Part/Description" xmlDataType="string"/>
    </tableColumn>
    <tableColumn id="3" xr3:uid="{16739D52-8082-4E8D-B1E1-B82F60766E2A}" uniqueName="Comment" name="Comment" dataDxfId="67">
      <xmlColumnPr mapId="18" xpath="/Capacitors/Part/Comment" xmlDataType="string"/>
    </tableColumn>
    <tableColumn id="4" xr3:uid="{AC1F3F2E-0C78-451D-9178-0A9D15C49726}" uniqueName="LibraryPath" name="Library Path" dataDxfId="66">
      <xmlColumnPr mapId="18" xpath="/Capacitors/Part/LibraryPath" xmlDataType="string"/>
    </tableColumn>
    <tableColumn id="5" xr3:uid="{9169ABA3-E41E-40E0-B785-3D3B749D70BB}" uniqueName="LibraryRef" name="Library Ref" dataDxfId="65">
      <xmlColumnPr mapId="18" xpath="/Capacitors/Part/LibraryRef" xmlDataType="string"/>
    </tableColumn>
    <tableColumn id="6" xr3:uid="{01EADD2D-36E6-41EE-B894-B537CCE6649E}" uniqueName="Value" name="Value" dataDxfId="64">
      <xmlColumnPr mapId="18" xpath="/Capacitors/Part/Value" xmlDataType="string"/>
    </tableColumn>
    <tableColumn id="7" xr3:uid="{EC779EF2-47DD-4E8F-A8D2-159E83C79180}" uniqueName="FootprintPath1" name="Footprint Path 1" dataDxfId="63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2">
      <xmlColumnPr mapId="18" xpath="/Capacitors/Part/FootprintRef1" xmlDataType="string"/>
    </tableColumn>
    <tableColumn id="9" xr3:uid="{85136BD9-A68F-40E0-9A6F-E71ECA929F04}" uniqueName="FootprintPath2" name="Footprint Path 2" dataDxfId="61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0">
      <xmlColumnPr mapId="18" xpath="/Capacitors/Part/FootprintRef2" xmlDataType="string"/>
    </tableColumn>
    <tableColumn id="11" xr3:uid="{50FA7750-FC9E-444C-8D52-C6B51BBD63C1}" uniqueName="FootprintPath3" name="Footprint Path 3" dataDxfId="59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8">
      <xmlColumnPr mapId="18" xpath="/Capacitors/Part/FootprintRef3" xmlDataType="string"/>
    </tableColumn>
    <tableColumn id="13" xr3:uid="{6B23463C-82AA-426D-ACBC-49A19C1D46FA}" uniqueName="FootprintPath4" name="Footprint Path 4" dataDxfId="57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6">
      <xmlColumnPr mapId="18" xpath="/Capacitors/Part/FootprintRef4" xmlDataType="string"/>
    </tableColumn>
    <tableColumn id="15" xr3:uid="{FD0F620C-73A8-49FB-B6E9-F06F81ED3185}" uniqueName="FootprintPath5" name="Footprint Path 5" dataDxfId="55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4">
      <xmlColumnPr mapId="18" xpath="/Capacitors/Part/FootprintRef5" xmlDataType="string"/>
    </tableColumn>
    <tableColumn id="17" xr3:uid="{130B1CD3-35EC-447E-93DF-ED8F8DC7A59A}" uniqueName="FootprintPath6" name="Footprint Path 6" dataDxfId="53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2">
      <xmlColumnPr mapId="18" xpath="/Capacitors/Part/FootprintRef6" xmlDataType="string"/>
    </tableColumn>
    <tableColumn id="19" xr3:uid="{6809872D-01AC-4EF6-B33F-6B8DA2D054C9}" uniqueName="FootprintPath7" name="Footprint Path 7" dataDxfId="51">
      <xmlColumnPr mapId="18" xpath="/Capacitors/Part/FootprintPath7" xmlDataType="string"/>
    </tableColumn>
    <tableColumn id="20" xr3:uid="{352E5BAE-89D3-4F1C-AA92-CDC22EDD2B11}" uniqueName="FootprintRef7" name="Footprint Ref 7" dataDxfId="50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38" tableType="xml" totalsRowShown="0" headerRowDxfId="49" dataDxfId="47" headerRowBorderDxfId="48" tableBorderDxfId="46" totalsRowBorderDxfId="45" connectionId="2">
  <autoFilter ref="A1:L38" xr:uid="{878D1F98-A9F5-4A73-9AF6-F1958A2298E5}"/>
  <tableColumns count="12">
    <tableColumn id="1" xr3:uid="{BE360A92-309D-442F-8CF6-729301B48AF1}" uniqueName="PartNumber" name="Part Number" dataDxfId="44">
      <calculatedColumnFormula>CONCATENATE("Capacitor_",IF(L2&gt;=100,CONCATENATE(L2/1000,"u"),CONCATENATE(L2,"n")),"_",G2*100,"_",H2,"V_",I2,"_",K2)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3">
      <xmlColumnPr mapId="45" xpath="/Capacitors_ceramic/Part/Description" xmlDataType="string"/>
    </tableColumn>
    <tableColumn id="3" xr3:uid="{E08E8E74-38D4-40B3-9230-6DE8921F9C02}" uniqueName="Comment" name="Comment" dataDxfId="42">
      <xmlColumnPr mapId="45" xpath="/Capacitors_ceramic/Part/Comment" xmlDataType="string"/>
    </tableColumn>
    <tableColumn id="4" xr3:uid="{F38C19B8-8D74-411E-8747-24F38CF943EA}" uniqueName="LibraryPath" name="Library Path" dataDxfId="41">
      <xmlColumnPr mapId="45" xpath="/Capacitors_ceramic/Part/LibraryPath" xmlDataType="string"/>
    </tableColumn>
    <tableColumn id="5" xr3:uid="{6944D1FB-F5AD-495C-95FD-8B0035ED7A14}" uniqueName="LibraryRef" name="Library Ref" dataDxfId="40">
      <xmlColumnPr mapId="45" xpath="/Capacitors_ceramic/Part/LibraryRef" xmlDataType="string"/>
    </tableColumn>
    <tableColumn id="6" xr3:uid="{1AE28532-F95A-4C28-952F-693866B98F0F}" uniqueName="Value" name="Value" dataDxfId="39">
      <calculatedColumnFormula>IF(L2&gt;=100,CONCATENATE(L2/1000," мк"),CONCATENATE(L2," н"))</calculatedColumnFormula>
      <xmlColumnPr mapId="45" xpath="/Capacitors_ceramic/Part/Value" xmlDataType="string"/>
    </tableColumn>
    <tableColumn id="7" xr3:uid="{FA37C061-DD7D-4E21-8FC5-D692A5318427}" uniqueName="Tolerance" name="Tolerance" dataDxfId="38">
      <xmlColumnPr mapId="45" xpath="/Capacitors_ceramic/Part/Tolerance" xmlDataType="string"/>
    </tableColumn>
    <tableColumn id="8" xr3:uid="{D333A99C-6562-4026-8ADA-54727E1BD30D}" uniqueName="Voltage" name="Voltage (V)" dataDxfId="37">
      <xmlColumnPr mapId="45" xpath="/Capacitors_ceramic/Part/Voltage" xmlDataType="integer"/>
    </tableColumn>
    <tableColumn id="9" xr3:uid="{BE8C07E6-0880-49FE-8DF7-8B6AFCB9E312}" uniqueName="Dielectric" name="Dielectric" dataDxfId="36">
      <xmlColumnPr mapId="45" xpath="/Capacitors_ceramic/Part/Dielectric" xmlDataType="string"/>
    </tableColumn>
    <tableColumn id="10" xr3:uid="{965F9C71-8990-494A-B08B-38C24AC2C990}" uniqueName="FootprintPath1" name="Footprint Path 1" dataDxfId="35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4">
      <xmlColumnPr mapId="45" xpath="/Capacitors_ceramic/Part/FootprintRef1" xmlDataType="string"/>
    </tableColumn>
    <tableColumn id="12" xr3:uid="{E9E08CA3-8A6C-4F56-B970-7EB4C6C35FCF}" uniqueName="Capacity" name="Capacity (n)" dataDxfId="33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2" dataDxfId="30" headerRowBorderDxfId="31" tableBorderDxfId="29" totalsRowBorderDxfId="28" connectionId="3">
  <autoFilter ref="A1:L20" xr:uid="{FCD00D2D-C6EB-4F9B-A6A8-00DC8F91BA2B}"/>
  <tableColumns count="12">
    <tableColumn id="1" xr3:uid="{E159CA3E-255F-4F03-A010-059B7D4B1CF1}" uniqueName="PartNumber" name="Part Number" dataDxfId="27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6">
      <xmlColumnPr mapId="57" xpath="/Capacitors_electrolytic/Part/Description" xmlDataType="string"/>
    </tableColumn>
    <tableColumn id="3" xr3:uid="{A6B64D2B-973B-40E8-9F76-77B66E4C01CA}" uniqueName="Comment" name="Comment" dataDxfId="25">
      <xmlColumnPr mapId="57" xpath="/Capacitors_electrolytic/Part/Comment" xmlDataType="string"/>
    </tableColumn>
    <tableColumn id="4" xr3:uid="{322A8959-F378-4FB1-93AE-7F327A18586C}" uniqueName="LibraryPath" name="Library Path" dataDxfId="24">
      <xmlColumnPr mapId="57" xpath="/Capacitors_electrolytic/Part/LibraryPath" xmlDataType="string"/>
    </tableColumn>
    <tableColumn id="5" xr3:uid="{AAF7CA4D-2920-47CB-9DAD-FEA97A4102DD}" uniqueName="LibraryRef" name="Library Ref" dataDxfId="23">
      <xmlColumnPr mapId="57" xpath="/Capacitors_electrolytic/Part/LibraryRef" xmlDataType="string"/>
    </tableColumn>
    <tableColumn id="6" xr3:uid="{4B2560A0-0C57-44BE-8348-F3BEEBE6D3F6}" uniqueName="Value" name="Value" dataDxfId="22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1">
      <xmlColumnPr mapId="57" xpath="/Capacitors_electrolytic/Part/Tolerance" xmlDataType="double"/>
    </tableColumn>
    <tableColumn id="8" xr3:uid="{41219E0C-6D00-4C09-BDBE-A0DFE5D27C61}" uniqueName="Voltage" name="Voltage (V)" dataDxfId="20">
      <xmlColumnPr mapId="57" xpath="/Capacitors_electrolytic/Part/Voltage" xmlDataType="integer"/>
    </tableColumn>
    <tableColumn id="9" xr3:uid="{75D529AC-2D48-4F0A-9689-CEB08E441DE2}" uniqueName="Type" name="Type" dataDxfId="19">
      <xmlColumnPr mapId="57" xpath="/Capacitors_electrolytic/Part/Type" xmlDataType="string"/>
    </tableColumn>
    <tableColumn id="10" xr3:uid="{3CCDF7A9-C357-4FF8-83DA-5B8FA9F06660}" uniqueName="FootprintPath1" name="Footprint Path 1" dataDxfId="18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7">
      <xmlColumnPr mapId="57" xpath="/Capacitors_electrolytic/Part/FootprintRef1" xmlDataType="string"/>
    </tableColumn>
    <tableColumn id="12" xr3:uid="{A16C20C1-3CAA-4C3D-96C6-A48015F66434}" uniqueName="Capacity" name="Capacity (u)" dataDxfId="16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5" connectionId="8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14" dataDxfId="13" connectionId="9">
  <autoFilter ref="A1:I5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E18" sqref="E18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154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workbookViewId="0">
      <selection activeCell="F2" sqref="F2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153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135</v>
      </c>
      <c r="G2" s="4">
        <v>0.01</v>
      </c>
      <c r="H2" s="3" t="s">
        <v>136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137</v>
      </c>
      <c r="G3" s="4">
        <v>0.01</v>
      </c>
      <c r="H3" s="3" t="s">
        <v>136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138</v>
      </c>
      <c r="G4" s="4">
        <v>0.01</v>
      </c>
      <c r="H4" s="3" t="s">
        <v>136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139</v>
      </c>
      <c r="G5" s="4">
        <v>0.01</v>
      </c>
      <c r="H5" s="3" t="s">
        <v>136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140</v>
      </c>
      <c r="G6" s="4">
        <v>0.01</v>
      </c>
      <c r="H6" s="3" t="s">
        <v>136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141</v>
      </c>
      <c r="G7" s="4">
        <v>0.01</v>
      </c>
      <c r="H7" s="3" t="s">
        <v>136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142</v>
      </c>
      <c r="G8" s="4">
        <v>0.01</v>
      </c>
      <c r="H8" s="3" t="s">
        <v>136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143</v>
      </c>
      <c r="G9" s="4">
        <v>0.01</v>
      </c>
      <c r="H9" s="3" t="s">
        <v>136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144</v>
      </c>
      <c r="G10" s="4">
        <v>0.01</v>
      </c>
      <c r="H10" s="3" t="s">
        <v>136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145</v>
      </c>
      <c r="G11" s="4">
        <v>0.01</v>
      </c>
      <c r="H11" s="3" t="s">
        <v>136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162</v>
      </c>
      <c r="G12" s="4">
        <v>0.01</v>
      </c>
      <c r="H12" s="3" t="s">
        <v>136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163</v>
      </c>
      <c r="G13" s="4">
        <v>0.01</v>
      </c>
      <c r="H13" s="3" t="s">
        <v>136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164</v>
      </c>
      <c r="G14" s="4">
        <v>0.01</v>
      </c>
      <c r="H14" s="3" t="s">
        <v>136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165</v>
      </c>
      <c r="G15" s="4">
        <v>0.01</v>
      </c>
      <c r="H15" s="3" t="s">
        <v>136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166</v>
      </c>
      <c r="G16" s="4">
        <v>0.01</v>
      </c>
      <c r="H16" s="3" t="s">
        <v>136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167</v>
      </c>
      <c r="G17" s="4">
        <v>0.01</v>
      </c>
      <c r="H17" s="3" t="s">
        <v>136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168</v>
      </c>
      <c r="G18" s="4">
        <v>0.01</v>
      </c>
      <c r="H18" s="3" t="s">
        <v>136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146</v>
      </c>
      <c r="G19" s="4">
        <v>0.01</v>
      </c>
      <c r="H19" s="3" t="s">
        <v>136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147</v>
      </c>
      <c r="G20" s="4">
        <v>0.01</v>
      </c>
      <c r="H20" s="3" t="s">
        <v>136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148</v>
      </c>
      <c r="G21" s="4">
        <v>0.01</v>
      </c>
      <c r="H21" s="3" t="s">
        <v>136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149</v>
      </c>
      <c r="G22" s="4">
        <v>0.01</v>
      </c>
      <c r="H22" s="3" t="s">
        <v>136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150</v>
      </c>
      <c r="G23" s="4">
        <v>0.01</v>
      </c>
      <c r="H23" s="3" t="s">
        <v>136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Resistor_8.3_1_0603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8,3Ом и точностью 1 %</v>
      </c>
      <c r="C24" s="3" t="s">
        <v>26</v>
      </c>
      <c r="D24" s="3" t="s">
        <v>29</v>
      </c>
      <c r="E24" s="3" t="s">
        <v>26</v>
      </c>
      <c r="F24" s="5" t="s">
        <v>151</v>
      </c>
      <c r="G24" s="4">
        <v>0.01</v>
      </c>
      <c r="H24" s="3" t="s">
        <v>136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152</v>
      </c>
      <c r="G25" s="4">
        <v>0.01</v>
      </c>
      <c r="H25" s="3" t="s">
        <v>136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v>10</v>
      </c>
      <c r="G26" s="4">
        <v>0.01</v>
      </c>
      <c r="H26" s="3" t="s">
        <v>136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6">
        <v>11</v>
      </c>
      <c r="G27" s="4">
        <v>0.01</v>
      </c>
      <c r="H27" s="3" t="s">
        <v>136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v>12</v>
      </c>
      <c r="G28" s="4">
        <v>0.01</v>
      </c>
      <c r="H28" s="3" t="s">
        <v>136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6">
        <v>13</v>
      </c>
      <c r="G29" s="4">
        <v>0.01</v>
      </c>
      <c r="H29" s="3" t="s">
        <v>136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v>15</v>
      </c>
      <c r="G30" s="4">
        <v>0.01</v>
      </c>
      <c r="H30" s="3" t="s">
        <v>136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6">
        <v>16</v>
      </c>
      <c r="G31" s="4">
        <v>0.01</v>
      </c>
      <c r="H31" s="3" t="s">
        <v>136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v>18</v>
      </c>
      <c r="G32" s="4">
        <v>0.01</v>
      </c>
      <c r="H32" s="3" t="s">
        <v>136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6">
        <v>20</v>
      </c>
      <c r="G33" s="4">
        <v>0.01</v>
      </c>
      <c r="H33" s="3" t="s">
        <v>136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v>22</v>
      </c>
      <c r="G34" s="4">
        <v>0.01</v>
      </c>
      <c r="H34" s="3" t="s">
        <v>136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6">
        <v>24</v>
      </c>
      <c r="G35" s="4">
        <v>0.01</v>
      </c>
      <c r="H35" s="3" t="s">
        <v>136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 t="s">
        <v>155</v>
      </c>
      <c r="G36" s="4">
        <v>0.01</v>
      </c>
      <c r="H36" s="3" t="s">
        <v>136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6" t="s">
        <v>156</v>
      </c>
      <c r="G37" s="4">
        <v>0.01</v>
      </c>
      <c r="H37" s="3" t="s">
        <v>136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 t="s">
        <v>157</v>
      </c>
      <c r="G38" s="4">
        <v>0.01</v>
      </c>
      <c r="H38" s="3" t="s">
        <v>136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6" t="s">
        <v>158</v>
      </c>
      <c r="G39" s="4">
        <v>0.01</v>
      </c>
      <c r="H39" s="3" t="s">
        <v>136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 t="s">
        <v>159</v>
      </c>
      <c r="G40" s="4">
        <v>0.01</v>
      </c>
      <c r="H40" s="3" t="s">
        <v>136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6" t="s">
        <v>160</v>
      </c>
      <c r="G41" s="4">
        <v>0.01</v>
      </c>
      <c r="H41" s="3" t="s">
        <v>136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 t="s">
        <v>161</v>
      </c>
      <c r="G42" s="4">
        <v>0.01</v>
      </c>
      <c r="H42" s="3" t="s">
        <v>136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6">
        <v>51</v>
      </c>
      <c r="G43" s="4">
        <v>0.01</v>
      </c>
      <c r="H43" s="3" t="s">
        <v>136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v>56</v>
      </c>
      <c r="G44" s="4">
        <v>0.01</v>
      </c>
      <c r="H44" s="3" t="s">
        <v>136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6">
        <v>62</v>
      </c>
      <c r="G45" s="4">
        <v>0.01</v>
      </c>
      <c r="H45" s="3" t="s">
        <v>136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v>68</v>
      </c>
      <c r="G46" s="4">
        <v>0.01</v>
      </c>
      <c r="H46" s="3" t="s">
        <v>136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6">
        <v>75</v>
      </c>
      <c r="G47" s="4">
        <v>0.01</v>
      </c>
      <c r="H47" s="3" t="s">
        <v>136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Resistor_83_1_0603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83Ом и точностью 1 %</v>
      </c>
      <c r="C48" s="3" t="s">
        <v>26</v>
      </c>
      <c r="D48" s="3" t="s">
        <v>29</v>
      </c>
      <c r="E48" s="3" t="s">
        <v>26</v>
      </c>
      <c r="F48" s="5">
        <v>83</v>
      </c>
      <c r="G48" s="4">
        <v>0.01</v>
      </c>
      <c r="H48" s="3" t="s">
        <v>136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6">
        <v>91</v>
      </c>
      <c r="G49" s="4">
        <v>0.01</v>
      </c>
      <c r="H49" s="3" t="s">
        <v>136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9">
        <f t="shared" ref="F50:F73" si="0">F26*10</f>
        <v>100</v>
      </c>
      <c r="G50" s="4">
        <v>0.01</v>
      </c>
      <c r="H50" s="3" t="s">
        <v>136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9">
        <f t="shared" si="0"/>
        <v>110</v>
      </c>
      <c r="G51" s="4">
        <v>0.01</v>
      </c>
      <c r="H51" s="3" t="s">
        <v>136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9">
        <f t="shared" si="0"/>
        <v>120</v>
      </c>
      <c r="G52" s="4">
        <v>0.01</v>
      </c>
      <c r="H52" s="3" t="s">
        <v>136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9">
        <f t="shared" si="0"/>
        <v>130</v>
      </c>
      <c r="G53" s="4">
        <v>0.01</v>
      </c>
      <c r="H53" s="3" t="s">
        <v>136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9">
        <f t="shared" si="0"/>
        <v>150</v>
      </c>
      <c r="G54" s="4">
        <v>0.01</v>
      </c>
      <c r="H54" s="3" t="s">
        <v>136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9">
        <f t="shared" si="0"/>
        <v>160</v>
      </c>
      <c r="G55" s="4">
        <v>0.01</v>
      </c>
      <c r="H55" s="3" t="s">
        <v>136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9">
        <f t="shared" si="0"/>
        <v>180</v>
      </c>
      <c r="G56" s="4">
        <v>0.01</v>
      </c>
      <c r="H56" s="3" t="s">
        <v>136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9">
        <f t="shared" si="0"/>
        <v>200</v>
      </c>
      <c r="G57" s="4">
        <v>0.01</v>
      </c>
      <c r="H57" s="3" t="s">
        <v>136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9">
        <f t="shared" si="0"/>
        <v>220</v>
      </c>
      <c r="G58" s="4">
        <v>0.01</v>
      </c>
      <c r="H58" s="3" t="s">
        <v>136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9">
        <f t="shared" si="0"/>
        <v>240</v>
      </c>
      <c r="G59" s="4">
        <v>0.01</v>
      </c>
      <c r="H59" s="3" t="s">
        <v>136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9">
        <f t="shared" si="0"/>
        <v>270</v>
      </c>
      <c r="G60" s="4">
        <v>0.01</v>
      </c>
      <c r="H60" s="3" t="s">
        <v>136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9">
        <f t="shared" si="0"/>
        <v>300</v>
      </c>
      <c r="G61" s="4">
        <v>0.01</v>
      </c>
      <c r="H61" s="3" t="s">
        <v>136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9">
        <f t="shared" si="0"/>
        <v>330</v>
      </c>
      <c r="G62" s="4">
        <v>0.01</v>
      </c>
      <c r="H62" s="3" t="s">
        <v>136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9">
        <f t="shared" si="0"/>
        <v>360</v>
      </c>
      <c r="G63" s="4">
        <v>0.01</v>
      </c>
      <c r="H63" s="3" t="s">
        <v>136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9">
        <f t="shared" si="0"/>
        <v>390</v>
      </c>
      <c r="G64" s="4">
        <v>0.01</v>
      </c>
      <c r="H64" s="3" t="s">
        <v>136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9">
        <f t="shared" si="0"/>
        <v>430</v>
      </c>
      <c r="G65" s="4">
        <v>0.01</v>
      </c>
      <c r="H65" s="3" t="s">
        <v>136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9">
        <f t="shared" si="0"/>
        <v>470</v>
      </c>
      <c r="G66" s="4">
        <v>0.01</v>
      </c>
      <c r="H66" s="3" t="s">
        <v>136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9">
        <f t="shared" si="0"/>
        <v>510</v>
      </c>
      <c r="G67" s="4">
        <v>0.01</v>
      </c>
      <c r="H67" s="3" t="s">
        <v>136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9">
        <f t="shared" si="0"/>
        <v>560</v>
      </c>
      <c r="G68" s="4">
        <v>0.01</v>
      </c>
      <c r="H68" s="3" t="s">
        <v>136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9">
        <f t="shared" si="0"/>
        <v>620</v>
      </c>
      <c r="G69" s="4">
        <v>0.01</v>
      </c>
      <c r="H69" s="3" t="s">
        <v>136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9">
        <f t="shared" si="0"/>
        <v>680</v>
      </c>
      <c r="G70" s="4">
        <v>0.01</v>
      </c>
      <c r="H70" s="3" t="s">
        <v>136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9">
        <f t="shared" si="0"/>
        <v>750</v>
      </c>
      <c r="G71" s="4">
        <v>0.01</v>
      </c>
      <c r="H71" s="3" t="s">
        <v>136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Resistor_830_1_0603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830Ом и точностью 1 %</v>
      </c>
      <c r="C72" s="3" t="s">
        <v>26</v>
      </c>
      <c r="D72" s="3" t="s">
        <v>29</v>
      </c>
      <c r="E72" s="3" t="s">
        <v>26</v>
      </c>
      <c r="F72" s="9">
        <f t="shared" si="0"/>
        <v>830</v>
      </c>
      <c r="G72" s="4">
        <v>0.01</v>
      </c>
      <c r="H72" s="3" t="s">
        <v>136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9">
        <f t="shared" si="0"/>
        <v>910</v>
      </c>
      <c r="G73" s="4">
        <v>0.01</v>
      </c>
      <c r="H73" s="3" t="s">
        <v>136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136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136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136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136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136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136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136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136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136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136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136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136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136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136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136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136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136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136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136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136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136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136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Resistor_8.3k_1_0603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8,3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8,3 к</v>
      </c>
      <c r="G96" s="4">
        <v>0.01</v>
      </c>
      <c r="H96" s="3" t="s">
        <v>136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136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136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136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136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136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136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136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136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136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136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136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136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136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136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136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136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136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136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136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136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136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136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136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Resistor_83k_1_0603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83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83 к</v>
      </c>
      <c r="G120" s="4">
        <v>0.01</v>
      </c>
      <c r="H120" s="3" t="s">
        <v>136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136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136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136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136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136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136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136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136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136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136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136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136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136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136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136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136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136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136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136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136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136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136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136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Resistor_830k_1_0603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830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830 к</v>
      </c>
      <c r="G144" s="4">
        <v>0.01</v>
      </c>
      <c r="H144" s="3" t="s">
        <v>136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136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136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136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136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136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136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136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136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136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136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136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136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136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136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136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136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136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136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136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136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136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136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136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Resistor_8.3M_1_0603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8,3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8,3 М</v>
      </c>
      <c r="G168" s="4">
        <v>0.01</v>
      </c>
      <c r="H168" s="3" t="s">
        <v>136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136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136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176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38"/>
  <sheetViews>
    <sheetView workbookViewId="0">
      <selection activeCell="D32" sqref="D32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153</v>
      </c>
      <c r="H1" s="13" t="s">
        <v>171</v>
      </c>
      <c r="I1" s="13" t="s">
        <v>169</v>
      </c>
      <c r="J1" s="11" t="s">
        <v>12</v>
      </c>
      <c r="K1" s="11" t="s">
        <v>8</v>
      </c>
      <c r="L1" s="13" t="s">
        <v>172</v>
      </c>
    </row>
    <row r="2" spans="1:12" ht="15.5" x14ac:dyDescent="0.35">
      <c r="A2" s="5" t="str">
        <f>CONCATENATE("Capacitor_",IF(L2&gt;=100,CONCATENATE(L2/1000,"u"),CONCATENATE(L2,"n")),"_",G2*100,"_",H2,"V_",I2,"_",K2)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17" t="str">
        <f>IF(L2&gt;=100,CONCATENATE(L2/1000," мк"),CONCATENATE(L2," н"))</f>
        <v>1 н</v>
      </c>
      <c r="G2" s="19">
        <v>0.1</v>
      </c>
      <c r="H2" s="16">
        <v>50</v>
      </c>
      <c r="I2" s="17" t="s">
        <v>170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5" t="str">
        <f t="shared" ref="A3:A38" si="0">CONCATENATE("Capacitor_",IF(L3&gt;=100,CONCATENATE(L3/1000,"u"),CONCATENATE(L3,"n")),"_",G3*100,"_",H3,"V_",I3,"_",K3)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5" t="str">
        <f t="shared" ref="F3:F38" si="1">IF(L3&gt;=100,CONCATENATE(L3/1000," мк"),CONCATENATE(L3," н"))</f>
        <v>1,2 н</v>
      </c>
      <c r="G3" s="18">
        <v>0.1</v>
      </c>
      <c r="H3" s="12">
        <v>50</v>
      </c>
      <c r="I3" s="5" t="s">
        <v>170</v>
      </c>
      <c r="J3" s="5" t="str">
        <f t="shared" ref="J3:J38" si="2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5" t="str">
        <f t="shared" si="0"/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5" t="str">
        <f t="shared" si="1"/>
        <v>1,5 н</v>
      </c>
      <c r="G4" s="18">
        <v>0.1</v>
      </c>
      <c r="H4" s="12">
        <v>50</v>
      </c>
      <c r="I4" s="5" t="s">
        <v>170</v>
      </c>
      <c r="J4" s="5" t="str">
        <f t="shared" si="2"/>
        <v>Footprints\Capacitors\0603C.PcbLib</v>
      </c>
      <c r="K4" s="5" t="s">
        <v>37</v>
      </c>
      <c r="L4" s="12">
        <v>1.5</v>
      </c>
    </row>
    <row r="5" spans="1:12" ht="15.5" x14ac:dyDescent="0.35">
      <c r="A5" s="5" t="str">
        <f t="shared" si="0"/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5" t="str">
        <f t="shared" si="1"/>
        <v>1,8 н</v>
      </c>
      <c r="G5" s="18">
        <v>0.1</v>
      </c>
      <c r="H5" s="12">
        <v>50</v>
      </c>
      <c r="I5" s="5" t="s">
        <v>170</v>
      </c>
      <c r="J5" s="5" t="str">
        <f t="shared" si="2"/>
        <v>Footprints\Capacitors\0603C.PcbLib</v>
      </c>
      <c r="K5" s="5" t="s">
        <v>37</v>
      </c>
      <c r="L5" s="12">
        <v>1.8</v>
      </c>
    </row>
    <row r="6" spans="1:12" ht="15.5" x14ac:dyDescent="0.35">
      <c r="A6" s="5" t="str">
        <f t="shared" si="0"/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5" t="str">
        <f t="shared" si="1"/>
        <v>2,2 н</v>
      </c>
      <c r="G6" s="18">
        <v>0.1</v>
      </c>
      <c r="H6" s="12">
        <v>50</v>
      </c>
      <c r="I6" s="5" t="s">
        <v>170</v>
      </c>
      <c r="J6" s="5" t="str">
        <f t="shared" si="2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5" t="str">
        <f t="shared" si="0"/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5" t="str">
        <f t="shared" si="1"/>
        <v>2,7 н</v>
      </c>
      <c r="G7" s="18">
        <v>0.1</v>
      </c>
      <c r="H7" s="12">
        <v>50</v>
      </c>
      <c r="I7" s="5" t="s">
        <v>170</v>
      </c>
      <c r="J7" s="5" t="str">
        <f t="shared" si="2"/>
        <v>Footprints\Capacitors\0603C.PcbLib</v>
      </c>
      <c r="K7" s="5" t="s">
        <v>37</v>
      </c>
      <c r="L7" s="12">
        <v>2.7</v>
      </c>
    </row>
    <row r="8" spans="1:12" ht="15.5" x14ac:dyDescent="0.35">
      <c r="A8" s="5" t="str">
        <f t="shared" si="0"/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5" t="str">
        <f t="shared" si="1"/>
        <v>3,3 н</v>
      </c>
      <c r="G8" s="18">
        <v>0.1</v>
      </c>
      <c r="H8" s="12">
        <v>50</v>
      </c>
      <c r="I8" s="5" t="s">
        <v>170</v>
      </c>
      <c r="J8" s="5" t="str">
        <f t="shared" si="2"/>
        <v>Footprints\Capacitors\0603C.PcbLib</v>
      </c>
      <c r="K8" s="5" t="s">
        <v>37</v>
      </c>
      <c r="L8" s="12">
        <v>3.3</v>
      </c>
    </row>
    <row r="9" spans="1:12" ht="15.5" x14ac:dyDescent="0.35">
      <c r="A9" s="5" t="str">
        <f t="shared" si="0"/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5" t="str">
        <f t="shared" si="1"/>
        <v>3,9 н</v>
      </c>
      <c r="G9" s="18">
        <v>0.1</v>
      </c>
      <c r="H9" s="12">
        <v>50</v>
      </c>
      <c r="I9" s="5" t="s">
        <v>170</v>
      </c>
      <c r="J9" s="5" t="str">
        <f t="shared" si="2"/>
        <v>Footprints\Capacitors\0603C.PcbLib</v>
      </c>
      <c r="K9" s="5" t="s">
        <v>37</v>
      </c>
      <c r="L9" s="12">
        <v>3.9</v>
      </c>
    </row>
    <row r="10" spans="1:12" ht="15.5" x14ac:dyDescent="0.35">
      <c r="A10" s="5" t="str">
        <f t="shared" si="0"/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5" t="str">
        <f t="shared" si="1"/>
        <v>4,7 н</v>
      </c>
      <c r="G10" s="18">
        <v>0.1</v>
      </c>
      <c r="H10" s="12">
        <v>50</v>
      </c>
      <c r="I10" s="5" t="s">
        <v>170</v>
      </c>
      <c r="J10" s="5" t="str">
        <f t="shared" si="2"/>
        <v>Footprints\Capacitors\0603C.PcbLib</v>
      </c>
      <c r="K10" s="5" t="s">
        <v>37</v>
      </c>
      <c r="L10" s="12">
        <v>4.7</v>
      </c>
    </row>
    <row r="11" spans="1:12" ht="15.5" x14ac:dyDescent="0.35">
      <c r="A11" s="5" t="str">
        <f t="shared" si="0"/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5" t="str">
        <f t="shared" si="1"/>
        <v>5,6 н</v>
      </c>
      <c r="G11" s="18">
        <v>0.1</v>
      </c>
      <c r="H11" s="12">
        <v>50</v>
      </c>
      <c r="I11" s="5" t="s">
        <v>170</v>
      </c>
      <c r="J11" s="5" t="str">
        <f t="shared" si="2"/>
        <v>Footprints\Capacitors\0603C.PcbLib</v>
      </c>
      <c r="K11" s="5" t="s">
        <v>37</v>
      </c>
      <c r="L11" s="12">
        <v>5.6</v>
      </c>
    </row>
    <row r="12" spans="1:12" ht="15.5" x14ac:dyDescent="0.35">
      <c r="A12" s="5" t="str">
        <f t="shared" si="0"/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5" t="str">
        <f t="shared" si="1"/>
        <v>6,8 н</v>
      </c>
      <c r="G12" s="18">
        <v>0.1</v>
      </c>
      <c r="H12" s="12">
        <v>50</v>
      </c>
      <c r="I12" s="5" t="s">
        <v>170</v>
      </c>
      <c r="J12" s="5" t="str">
        <f t="shared" si="2"/>
        <v>Footprints\Capacitors\0603C.PcbLib</v>
      </c>
      <c r="K12" s="5" t="s">
        <v>37</v>
      </c>
      <c r="L12" s="12">
        <v>6.8</v>
      </c>
    </row>
    <row r="13" spans="1:12" ht="15.5" x14ac:dyDescent="0.35">
      <c r="A13" s="5" t="str">
        <f t="shared" si="0"/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5" t="str">
        <f t="shared" si="1"/>
        <v>8,2 н</v>
      </c>
      <c r="G13" s="18">
        <v>0.1</v>
      </c>
      <c r="H13" s="12">
        <v>50</v>
      </c>
      <c r="I13" s="5" t="s">
        <v>170</v>
      </c>
      <c r="J13" s="5" t="str">
        <f t="shared" si="2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5" t="str">
        <f t="shared" si="0"/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5" t="str">
        <f t="shared" si="1"/>
        <v>10 н</v>
      </c>
      <c r="G14" s="18">
        <v>0.1</v>
      </c>
      <c r="H14" s="12">
        <v>50</v>
      </c>
      <c r="I14" s="5" t="s">
        <v>170</v>
      </c>
      <c r="J14" s="5" t="str">
        <f t="shared" si="2"/>
        <v>Footprints\Capacitors\0603C.PcbLib</v>
      </c>
      <c r="K14" s="5" t="s">
        <v>37</v>
      </c>
      <c r="L14" s="12">
        <f t="shared" ref="L14:L38" si="3">L2*10</f>
        <v>10</v>
      </c>
    </row>
    <row r="15" spans="1:12" ht="15.5" x14ac:dyDescent="0.35">
      <c r="A15" s="5" t="str">
        <f t="shared" si="0"/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5" t="str">
        <f t="shared" si="1"/>
        <v>12 н</v>
      </c>
      <c r="G15" s="18">
        <v>0.1</v>
      </c>
      <c r="H15" s="12">
        <v>50</v>
      </c>
      <c r="I15" s="5" t="s">
        <v>170</v>
      </c>
      <c r="J15" s="5" t="str">
        <f t="shared" si="2"/>
        <v>Footprints\Capacitors\0603C.PcbLib</v>
      </c>
      <c r="K15" s="5" t="s">
        <v>37</v>
      </c>
      <c r="L15" s="12">
        <f t="shared" si="3"/>
        <v>12</v>
      </c>
    </row>
    <row r="16" spans="1:12" ht="15.5" x14ac:dyDescent="0.35">
      <c r="A16" s="5" t="str">
        <f t="shared" si="0"/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5" t="str">
        <f t="shared" si="1"/>
        <v>15 н</v>
      </c>
      <c r="G16" s="18">
        <v>0.1</v>
      </c>
      <c r="H16" s="12">
        <v>50</v>
      </c>
      <c r="I16" s="5" t="s">
        <v>170</v>
      </c>
      <c r="J16" s="5" t="str">
        <f t="shared" si="2"/>
        <v>Footprints\Capacitors\0603C.PcbLib</v>
      </c>
      <c r="K16" s="5" t="s">
        <v>37</v>
      </c>
      <c r="L16" s="12">
        <f t="shared" si="3"/>
        <v>15</v>
      </c>
    </row>
    <row r="17" spans="1:12" ht="15.5" x14ac:dyDescent="0.35">
      <c r="A17" s="5" t="str">
        <f t="shared" si="0"/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5" t="str">
        <f t="shared" si="1"/>
        <v>18 н</v>
      </c>
      <c r="G17" s="18">
        <v>0.1</v>
      </c>
      <c r="H17" s="12">
        <v>50</v>
      </c>
      <c r="I17" s="5" t="s">
        <v>170</v>
      </c>
      <c r="J17" s="5" t="str">
        <f t="shared" si="2"/>
        <v>Footprints\Capacitors\0603C.PcbLib</v>
      </c>
      <c r="K17" s="5" t="s">
        <v>37</v>
      </c>
      <c r="L17" s="12">
        <f t="shared" si="3"/>
        <v>18</v>
      </c>
    </row>
    <row r="18" spans="1:12" ht="15.5" x14ac:dyDescent="0.35">
      <c r="A18" s="5" t="str">
        <f t="shared" si="0"/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5" t="str">
        <f t="shared" si="1"/>
        <v>22 н</v>
      </c>
      <c r="G18" s="18">
        <v>0.1</v>
      </c>
      <c r="H18" s="12">
        <v>50</v>
      </c>
      <c r="I18" s="5" t="s">
        <v>170</v>
      </c>
      <c r="J18" s="5" t="str">
        <f t="shared" si="2"/>
        <v>Footprints\Capacitors\0603C.PcbLib</v>
      </c>
      <c r="K18" s="5" t="s">
        <v>37</v>
      </c>
      <c r="L18" s="12">
        <f t="shared" si="3"/>
        <v>22</v>
      </c>
    </row>
    <row r="19" spans="1:12" ht="15.5" x14ac:dyDescent="0.35">
      <c r="A19" s="5" t="str">
        <f t="shared" si="0"/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5" t="str">
        <f t="shared" si="1"/>
        <v>27 н</v>
      </c>
      <c r="G19" s="18">
        <v>0.1</v>
      </c>
      <c r="H19" s="12">
        <v>50</v>
      </c>
      <c r="I19" s="5" t="s">
        <v>170</v>
      </c>
      <c r="J19" s="5" t="str">
        <f t="shared" si="2"/>
        <v>Footprints\Capacitors\0603C.PcbLib</v>
      </c>
      <c r="K19" s="5" t="s">
        <v>37</v>
      </c>
      <c r="L19" s="12">
        <f t="shared" si="3"/>
        <v>27</v>
      </c>
    </row>
    <row r="20" spans="1:12" ht="15.5" x14ac:dyDescent="0.35">
      <c r="A20" s="5" t="str">
        <f t="shared" si="0"/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5" t="str">
        <f t="shared" si="1"/>
        <v>33 н</v>
      </c>
      <c r="G20" s="18">
        <v>0.1</v>
      </c>
      <c r="H20" s="12">
        <v>50</v>
      </c>
      <c r="I20" s="5" t="s">
        <v>170</v>
      </c>
      <c r="J20" s="5" t="str">
        <f t="shared" si="2"/>
        <v>Footprints\Capacitors\0603C.PcbLib</v>
      </c>
      <c r="K20" s="5" t="s">
        <v>37</v>
      </c>
      <c r="L20" s="12">
        <f t="shared" si="3"/>
        <v>33</v>
      </c>
    </row>
    <row r="21" spans="1:12" ht="15.5" x14ac:dyDescent="0.35">
      <c r="A21" s="5" t="str">
        <f t="shared" si="0"/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5" t="str">
        <f t="shared" si="1"/>
        <v>39 н</v>
      </c>
      <c r="G21" s="18">
        <v>0.1</v>
      </c>
      <c r="H21" s="12">
        <v>50</v>
      </c>
      <c r="I21" s="5" t="s">
        <v>170</v>
      </c>
      <c r="J21" s="5" t="str">
        <f t="shared" si="2"/>
        <v>Footprints\Capacitors\0603C.PcbLib</v>
      </c>
      <c r="K21" s="5" t="s">
        <v>37</v>
      </c>
      <c r="L21" s="12">
        <f t="shared" si="3"/>
        <v>39</v>
      </c>
    </row>
    <row r="22" spans="1:12" ht="15.5" x14ac:dyDescent="0.35">
      <c r="A22" s="5" t="str">
        <f t="shared" si="0"/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5" t="str">
        <f t="shared" si="1"/>
        <v>47 н</v>
      </c>
      <c r="G22" s="18">
        <v>0.1</v>
      </c>
      <c r="H22" s="12">
        <v>50</v>
      </c>
      <c r="I22" s="5" t="s">
        <v>170</v>
      </c>
      <c r="J22" s="5" t="str">
        <f t="shared" si="2"/>
        <v>Footprints\Capacitors\0603C.PcbLib</v>
      </c>
      <c r="K22" s="5" t="s">
        <v>37</v>
      </c>
      <c r="L22" s="12">
        <f t="shared" si="3"/>
        <v>47</v>
      </c>
    </row>
    <row r="23" spans="1:12" ht="15.5" x14ac:dyDescent="0.35">
      <c r="A23" s="5" t="str">
        <f t="shared" si="0"/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5" t="str">
        <f t="shared" si="1"/>
        <v>56 н</v>
      </c>
      <c r="G23" s="18">
        <v>0.1</v>
      </c>
      <c r="H23" s="12">
        <v>50</v>
      </c>
      <c r="I23" s="5" t="s">
        <v>170</v>
      </c>
      <c r="J23" s="5" t="str">
        <f t="shared" si="2"/>
        <v>Footprints\Capacitors\0603C.PcbLib</v>
      </c>
      <c r="K23" s="5" t="s">
        <v>37</v>
      </c>
      <c r="L23" s="12">
        <f t="shared" si="3"/>
        <v>56</v>
      </c>
    </row>
    <row r="24" spans="1:12" ht="15.5" x14ac:dyDescent="0.35">
      <c r="A24" s="5" t="str">
        <f t="shared" si="0"/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5" t="str">
        <f t="shared" si="1"/>
        <v>68 н</v>
      </c>
      <c r="G24" s="18">
        <v>0.1</v>
      </c>
      <c r="H24" s="12">
        <v>50</v>
      </c>
      <c r="I24" s="5" t="s">
        <v>170</v>
      </c>
      <c r="J24" s="5" t="str">
        <f t="shared" si="2"/>
        <v>Footprints\Capacitors\0603C.PcbLib</v>
      </c>
      <c r="K24" s="5" t="s">
        <v>37</v>
      </c>
      <c r="L24" s="12">
        <f t="shared" si="3"/>
        <v>68</v>
      </c>
    </row>
    <row r="25" spans="1:12" ht="15.5" x14ac:dyDescent="0.35">
      <c r="A25" s="5" t="str">
        <f t="shared" si="0"/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5" t="str">
        <f t="shared" si="1"/>
        <v>82 н</v>
      </c>
      <c r="G25" s="18">
        <v>0.1</v>
      </c>
      <c r="H25" s="12">
        <v>50</v>
      </c>
      <c r="I25" s="5" t="s">
        <v>170</v>
      </c>
      <c r="J25" s="5" t="str">
        <f t="shared" si="2"/>
        <v>Footprints\Capacitors\0603C.PcbLib</v>
      </c>
      <c r="K25" s="5" t="s">
        <v>37</v>
      </c>
      <c r="L25" s="12">
        <f t="shared" si="3"/>
        <v>82</v>
      </c>
    </row>
    <row r="26" spans="1:12" ht="15.5" x14ac:dyDescent="0.35">
      <c r="A26" s="5" t="str">
        <f t="shared" si="0"/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5" t="str">
        <f t="shared" si="1"/>
        <v>0,1 мк</v>
      </c>
      <c r="G26" s="18">
        <v>0.1</v>
      </c>
      <c r="H26" s="12">
        <v>50</v>
      </c>
      <c r="I26" s="5" t="s">
        <v>170</v>
      </c>
      <c r="J26" s="5" t="str">
        <f t="shared" si="2"/>
        <v>Footprints\Capacitors\0603C.PcbLib</v>
      </c>
      <c r="K26" s="5" t="s">
        <v>37</v>
      </c>
      <c r="L26" s="12">
        <f t="shared" si="3"/>
        <v>100</v>
      </c>
    </row>
    <row r="27" spans="1:12" ht="15.5" x14ac:dyDescent="0.35">
      <c r="A27" s="5" t="str">
        <f t="shared" si="0"/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5" t="str">
        <f t="shared" si="1"/>
        <v>0,12 мк</v>
      </c>
      <c r="G27" s="18">
        <v>0.1</v>
      </c>
      <c r="H27" s="12">
        <v>50</v>
      </c>
      <c r="I27" s="5" t="s">
        <v>170</v>
      </c>
      <c r="J27" s="5" t="str">
        <f t="shared" si="2"/>
        <v>Footprints\Capacitors\0603C.PcbLib</v>
      </c>
      <c r="K27" s="5" t="s">
        <v>37</v>
      </c>
      <c r="L27" s="12">
        <f t="shared" si="3"/>
        <v>120</v>
      </c>
    </row>
    <row r="28" spans="1:12" ht="15.5" x14ac:dyDescent="0.35">
      <c r="A28" s="5" t="str">
        <f t="shared" si="0"/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5" t="str">
        <f t="shared" si="1"/>
        <v>0,15 мк</v>
      </c>
      <c r="G28" s="18">
        <v>0.1</v>
      </c>
      <c r="H28" s="12">
        <v>50</v>
      </c>
      <c r="I28" s="5" t="s">
        <v>170</v>
      </c>
      <c r="J28" s="5" t="str">
        <f t="shared" si="2"/>
        <v>Footprints\Capacitors\0603C.PcbLib</v>
      </c>
      <c r="K28" s="5" t="s">
        <v>37</v>
      </c>
      <c r="L28" s="12">
        <f t="shared" si="3"/>
        <v>150</v>
      </c>
    </row>
    <row r="29" spans="1:12" ht="15.5" x14ac:dyDescent="0.35">
      <c r="A29" s="5" t="str">
        <f t="shared" si="0"/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5" t="str">
        <f t="shared" si="1"/>
        <v>0,18 мк</v>
      </c>
      <c r="G29" s="18">
        <v>0.1</v>
      </c>
      <c r="H29" s="12">
        <v>50</v>
      </c>
      <c r="I29" s="5" t="s">
        <v>170</v>
      </c>
      <c r="J29" s="5" t="str">
        <f t="shared" si="2"/>
        <v>Footprints\Capacitors\0603C.PcbLib</v>
      </c>
      <c r="K29" s="5" t="s">
        <v>37</v>
      </c>
      <c r="L29" s="12">
        <f t="shared" si="3"/>
        <v>180</v>
      </c>
    </row>
    <row r="30" spans="1:12" ht="15.5" x14ac:dyDescent="0.35">
      <c r="A30" s="5" t="str">
        <f t="shared" si="0"/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5" t="str">
        <f t="shared" si="1"/>
        <v>0,22 мк</v>
      </c>
      <c r="G30" s="18">
        <v>0.1</v>
      </c>
      <c r="H30" s="12">
        <v>50</v>
      </c>
      <c r="I30" s="5" t="s">
        <v>170</v>
      </c>
      <c r="J30" s="5" t="str">
        <f t="shared" si="2"/>
        <v>Footprints\Capacitors\0603C.PcbLib</v>
      </c>
      <c r="K30" s="5" t="s">
        <v>37</v>
      </c>
      <c r="L30" s="12">
        <f t="shared" si="3"/>
        <v>220</v>
      </c>
    </row>
    <row r="31" spans="1:12" ht="15.5" x14ac:dyDescent="0.35">
      <c r="A31" s="5" t="str">
        <f t="shared" si="0"/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5" t="str">
        <f t="shared" si="1"/>
        <v>0,27 мк</v>
      </c>
      <c r="G31" s="18">
        <v>0.1</v>
      </c>
      <c r="H31" s="12">
        <v>50</v>
      </c>
      <c r="I31" s="5" t="s">
        <v>170</v>
      </c>
      <c r="J31" s="5" t="str">
        <f t="shared" si="2"/>
        <v>Footprints\Capacitors\0603C.PcbLib</v>
      </c>
      <c r="K31" s="5" t="s">
        <v>37</v>
      </c>
      <c r="L31" s="12">
        <f t="shared" si="3"/>
        <v>270</v>
      </c>
    </row>
    <row r="32" spans="1:12" ht="15.5" x14ac:dyDescent="0.35">
      <c r="A32" s="5" t="str">
        <f t="shared" si="0"/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5" t="str">
        <f t="shared" si="1"/>
        <v>0,33 мк</v>
      </c>
      <c r="G32" s="18">
        <v>0.1</v>
      </c>
      <c r="H32" s="12">
        <v>50</v>
      </c>
      <c r="I32" s="5" t="s">
        <v>170</v>
      </c>
      <c r="J32" s="5" t="str">
        <f t="shared" si="2"/>
        <v>Footprints\Capacitors\0603C.PcbLib</v>
      </c>
      <c r="K32" s="5" t="s">
        <v>37</v>
      </c>
      <c r="L32" s="12">
        <f t="shared" si="3"/>
        <v>330</v>
      </c>
    </row>
    <row r="33" spans="1:12" ht="15.5" x14ac:dyDescent="0.35">
      <c r="A33" s="5" t="str">
        <f t="shared" si="0"/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5" t="str">
        <f t="shared" si="1"/>
        <v>0,39 мк</v>
      </c>
      <c r="G33" s="18">
        <v>0.1</v>
      </c>
      <c r="H33" s="12">
        <v>50</v>
      </c>
      <c r="I33" s="5" t="s">
        <v>170</v>
      </c>
      <c r="J33" s="5" t="str">
        <f t="shared" si="2"/>
        <v>Footprints\Capacitors\0603C.PcbLib</v>
      </c>
      <c r="K33" s="5" t="s">
        <v>37</v>
      </c>
      <c r="L33" s="12">
        <f t="shared" si="3"/>
        <v>390</v>
      </c>
    </row>
    <row r="34" spans="1:12" ht="15.5" x14ac:dyDescent="0.35">
      <c r="A34" s="5" t="str">
        <f t="shared" si="0"/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5" t="str">
        <f t="shared" si="1"/>
        <v>0,47 мк</v>
      </c>
      <c r="G34" s="18">
        <v>0.1</v>
      </c>
      <c r="H34" s="12">
        <v>50</v>
      </c>
      <c r="I34" s="5" t="s">
        <v>170</v>
      </c>
      <c r="J34" s="5" t="str">
        <f t="shared" si="2"/>
        <v>Footprints\Capacitors\0603C.PcbLib</v>
      </c>
      <c r="K34" s="5" t="s">
        <v>37</v>
      </c>
      <c r="L34" s="12">
        <f t="shared" si="3"/>
        <v>470</v>
      </c>
    </row>
    <row r="35" spans="1:12" ht="15.5" x14ac:dyDescent="0.35">
      <c r="A35" s="5" t="str">
        <f t="shared" si="0"/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5" t="str">
        <f t="shared" si="1"/>
        <v>0,56 мк</v>
      </c>
      <c r="G35" s="18">
        <v>0.1</v>
      </c>
      <c r="H35" s="12">
        <v>50</v>
      </c>
      <c r="I35" s="5" t="s">
        <v>170</v>
      </c>
      <c r="J35" s="5" t="str">
        <f t="shared" si="2"/>
        <v>Footprints\Capacitors\0603C.PcbLib</v>
      </c>
      <c r="K35" s="5" t="s">
        <v>37</v>
      </c>
      <c r="L35" s="12">
        <f t="shared" si="3"/>
        <v>560</v>
      </c>
    </row>
    <row r="36" spans="1:12" ht="15.5" x14ac:dyDescent="0.35">
      <c r="A36" s="5" t="str">
        <f t="shared" si="0"/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5" t="str">
        <f t="shared" si="1"/>
        <v>0,68 мк</v>
      </c>
      <c r="G36" s="18">
        <v>0.1</v>
      </c>
      <c r="H36" s="12">
        <v>50</v>
      </c>
      <c r="I36" s="5" t="s">
        <v>170</v>
      </c>
      <c r="J36" s="5" t="str">
        <f t="shared" si="2"/>
        <v>Footprints\Capacitors\0603C.PcbLib</v>
      </c>
      <c r="K36" s="5" t="s">
        <v>37</v>
      </c>
      <c r="L36" s="12">
        <f t="shared" si="3"/>
        <v>680</v>
      </c>
    </row>
    <row r="37" spans="1:12" ht="15.5" x14ac:dyDescent="0.35">
      <c r="A37" s="5" t="str">
        <f t="shared" si="0"/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5" t="str">
        <f t="shared" si="1"/>
        <v>0,82 мк</v>
      </c>
      <c r="G37" s="18">
        <v>0.1</v>
      </c>
      <c r="H37" s="12">
        <v>50</v>
      </c>
      <c r="I37" s="5" t="s">
        <v>170</v>
      </c>
      <c r="J37" s="5" t="str">
        <f t="shared" si="2"/>
        <v>Footprints\Capacitors\0603C.PcbLib</v>
      </c>
      <c r="K37" s="5" t="s">
        <v>37</v>
      </c>
      <c r="L37" s="12">
        <f t="shared" si="3"/>
        <v>820</v>
      </c>
    </row>
    <row r="38" spans="1:12" ht="15.5" x14ac:dyDescent="0.35">
      <c r="A38" s="15" t="str">
        <f t="shared" si="0"/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15" t="str">
        <f t="shared" si="1"/>
        <v>1 мк</v>
      </c>
      <c r="G38" s="20">
        <v>0.1</v>
      </c>
      <c r="H38" s="14">
        <v>50</v>
      </c>
      <c r="I38" s="15" t="s">
        <v>170</v>
      </c>
      <c r="J38" s="15" t="str">
        <f t="shared" si="2"/>
        <v>Footprints\Capacitors\0603C.PcbLib</v>
      </c>
      <c r="K38" s="15" t="s">
        <v>37</v>
      </c>
      <c r="L38" s="14">
        <f t="shared" si="3"/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28" sqref="K28"/>
    </sheetView>
  </sheetViews>
  <sheetFormatPr defaultRowHeight="14.5" x14ac:dyDescent="0.35"/>
  <cols>
    <col min="1" max="1" width="30.08984375" bestFit="1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32.6328125" bestFit="1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153</v>
      </c>
      <c r="H1" s="11" t="s">
        <v>171</v>
      </c>
      <c r="I1" s="11" t="s">
        <v>173</v>
      </c>
      <c r="J1" s="11" t="s">
        <v>12</v>
      </c>
      <c r="K1" s="11" t="s">
        <v>8</v>
      </c>
      <c r="L1" s="21" t="s">
        <v>175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177</v>
      </c>
      <c r="C2" s="17" t="s">
        <v>27</v>
      </c>
      <c r="D2" s="17" t="s">
        <v>176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174</v>
      </c>
      <c r="J2" s="17" t="str">
        <f>CONCATENATE("Footprints\Capacitors\",K2,".PcbLib")</f>
        <v>Footprints\Capacitors\TC_A.PcbLib</v>
      </c>
      <c r="K2" s="17" t="s">
        <v>125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177</v>
      </c>
      <c r="C3" s="5" t="s">
        <v>27</v>
      </c>
      <c r="D3" s="5" t="s">
        <v>176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174</v>
      </c>
      <c r="J3" s="5" t="str">
        <f t="shared" ref="J3:J20" si="2">CONCATENATE("Footprints\Capacitors\",K3,".PcbLib")</f>
        <v>Footprints\Capacitors\TC_A.PcbLib</v>
      </c>
      <c r="K3" s="5" t="s">
        <v>125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177</v>
      </c>
      <c r="C4" s="5" t="s">
        <v>27</v>
      </c>
      <c r="D4" s="5" t="s">
        <v>176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174</v>
      </c>
      <c r="J4" s="5" t="str">
        <f t="shared" si="2"/>
        <v>Footprints\Capacitors\TC_A.PcbLib</v>
      </c>
      <c r="K4" s="5" t="s">
        <v>125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177</v>
      </c>
      <c r="C5" s="5" t="s">
        <v>27</v>
      </c>
      <c r="D5" s="5" t="s">
        <v>176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174</v>
      </c>
      <c r="J5" s="5" t="str">
        <f t="shared" si="2"/>
        <v>Footprints\Capacitors\TC_A.PcbLib</v>
      </c>
      <c r="K5" s="5" t="s">
        <v>125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177</v>
      </c>
      <c r="C6" s="5" t="s">
        <v>27</v>
      </c>
      <c r="D6" s="5" t="s">
        <v>176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174</v>
      </c>
      <c r="J6" s="5" t="str">
        <f t="shared" si="2"/>
        <v>Footprints\Capacitors\TC_A.PcbLib</v>
      </c>
      <c r="K6" s="5" t="s">
        <v>125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177</v>
      </c>
      <c r="C7" s="5" t="s">
        <v>27</v>
      </c>
      <c r="D7" s="5" t="s">
        <v>176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174</v>
      </c>
      <c r="J7" s="5" t="str">
        <f t="shared" si="2"/>
        <v>Footprints\Capacitors\TC_A.PcbLib</v>
      </c>
      <c r="K7" s="5" t="s">
        <v>125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177</v>
      </c>
      <c r="C8" s="5" t="s">
        <v>27</v>
      </c>
      <c r="D8" s="5" t="s">
        <v>176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174</v>
      </c>
      <c r="J8" s="5" t="str">
        <f t="shared" si="2"/>
        <v>Footprints\Capacitors\TC_A.PcbLib</v>
      </c>
      <c r="K8" s="5" t="s">
        <v>125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177</v>
      </c>
      <c r="C9" s="5" t="s">
        <v>27</v>
      </c>
      <c r="D9" s="5" t="s">
        <v>176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174</v>
      </c>
      <c r="J9" s="5" t="str">
        <f t="shared" si="2"/>
        <v>Footprints\Capacitors\TC_A.PcbLib</v>
      </c>
      <c r="K9" s="5" t="s">
        <v>125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177</v>
      </c>
      <c r="C10" s="5" t="s">
        <v>27</v>
      </c>
      <c r="D10" s="5" t="s">
        <v>176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174</v>
      </c>
      <c r="J10" s="5" t="str">
        <f t="shared" si="2"/>
        <v>Footprints\Capacitors\TC_A.PcbLib</v>
      </c>
      <c r="K10" s="5" t="s">
        <v>125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177</v>
      </c>
      <c r="C11" s="5" t="s">
        <v>27</v>
      </c>
      <c r="D11" s="5" t="s">
        <v>176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174</v>
      </c>
      <c r="J11" s="5" t="str">
        <f t="shared" si="2"/>
        <v>Footprints\Capacitors\TC_A.PcbLib</v>
      </c>
      <c r="K11" s="5" t="s">
        <v>125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177</v>
      </c>
      <c r="C12" s="5" t="s">
        <v>27</v>
      </c>
      <c r="D12" s="5" t="s">
        <v>176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174</v>
      </c>
      <c r="J12" s="5" t="str">
        <f t="shared" si="2"/>
        <v>Footprints\Capacitors\TC_A.PcbLib</v>
      </c>
      <c r="K12" s="5" t="s">
        <v>125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177</v>
      </c>
      <c r="C13" s="5" t="s">
        <v>27</v>
      </c>
      <c r="D13" s="5" t="s">
        <v>176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174</v>
      </c>
      <c r="J13" s="5" t="str">
        <f t="shared" si="2"/>
        <v>Footprints\Capacitors\TC_A.PcbLib</v>
      </c>
      <c r="K13" s="5" t="s">
        <v>125</v>
      </c>
      <c r="L13" s="22">
        <f t="shared" si="3"/>
        <v>68</v>
      </c>
    </row>
    <row r="14" spans="1:12" ht="15.5" x14ac:dyDescent="0.35">
      <c r="A14" s="5" t="str">
        <f t="shared" si="4"/>
        <v>Capacitor_100u_10_50V_TC_A</v>
      </c>
      <c r="B14" s="5" t="s">
        <v>177</v>
      </c>
      <c r="C14" s="5" t="s">
        <v>27</v>
      </c>
      <c r="D14" s="5" t="s">
        <v>176</v>
      </c>
      <c r="E14" s="5" t="s">
        <v>39</v>
      </c>
      <c r="F14" s="5" t="str">
        <f t="shared" si="5"/>
        <v>100 мк</v>
      </c>
      <c r="G14" s="22">
        <v>0.1</v>
      </c>
      <c r="H14" s="22">
        <v>50</v>
      </c>
      <c r="I14" s="5" t="s">
        <v>174</v>
      </c>
      <c r="J14" s="5" t="str">
        <f t="shared" si="2"/>
        <v>Footprints\Capacitors\TC_A.PcbLib</v>
      </c>
      <c r="K14" s="5" t="s">
        <v>125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177</v>
      </c>
      <c r="C15" s="5" t="s">
        <v>27</v>
      </c>
      <c r="D15" s="5" t="s">
        <v>176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174</v>
      </c>
      <c r="J15" s="5" t="str">
        <f t="shared" si="2"/>
        <v>Footprints\Capacitors\TC_A.PcbLib</v>
      </c>
      <c r="K15" s="5" t="s">
        <v>125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177</v>
      </c>
      <c r="C16" s="5" t="s">
        <v>27</v>
      </c>
      <c r="D16" s="5" t="s">
        <v>176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174</v>
      </c>
      <c r="J16" s="5" t="str">
        <f t="shared" si="2"/>
        <v>Footprints\Capacitors\TC_A.PcbLib</v>
      </c>
      <c r="K16" s="5" t="s">
        <v>125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177</v>
      </c>
      <c r="C17" s="5" t="s">
        <v>27</v>
      </c>
      <c r="D17" s="5" t="s">
        <v>176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174</v>
      </c>
      <c r="J17" s="5" t="str">
        <f t="shared" si="2"/>
        <v>Footprints\Capacitors\TC_A.PcbLib</v>
      </c>
      <c r="K17" s="5" t="s">
        <v>125</v>
      </c>
      <c r="L17" s="22">
        <f t="shared" si="6"/>
        <v>330</v>
      </c>
    </row>
    <row r="18" spans="1:12" ht="15.5" x14ac:dyDescent="0.35">
      <c r="A18" s="5" t="str">
        <f t="shared" si="4"/>
        <v>Capacitor_470u_10_50V_TC_A</v>
      </c>
      <c r="B18" s="5" t="s">
        <v>177</v>
      </c>
      <c r="C18" s="5" t="s">
        <v>27</v>
      </c>
      <c r="D18" s="5" t="s">
        <v>176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174</v>
      </c>
      <c r="J18" s="5" t="str">
        <f t="shared" si="2"/>
        <v>Footprints\Capacitors\TC_A.PcbLib</v>
      </c>
      <c r="K18" s="5" t="s">
        <v>125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177</v>
      </c>
      <c r="C19" s="5" t="s">
        <v>27</v>
      </c>
      <c r="D19" s="5" t="s">
        <v>176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174</v>
      </c>
      <c r="J19" s="5" t="str">
        <f t="shared" si="2"/>
        <v>Footprints\Capacitors\TC_A.PcbLib</v>
      </c>
      <c r="K19" s="5" t="s">
        <v>125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177</v>
      </c>
      <c r="C20" s="15" t="s">
        <v>27</v>
      </c>
      <c r="D20" s="15" t="s">
        <v>176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174</v>
      </c>
      <c r="J20" s="15" t="str">
        <f t="shared" si="2"/>
        <v>Footprints\Capacitors\TC_A.PcbLib</v>
      </c>
      <c r="K20" s="15" t="s">
        <v>125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F8" sqref="F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tabSelected="1"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114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115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110</v>
      </c>
      <c r="B4" t="s">
        <v>111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116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112</v>
      </c>
      <c r="B5" t="s">
        <v>113</v>
      </c>
      <c r="C5" s="2" t="str">
        <f t="shared" si="2"/>
        <v>CWF-5</v>
      </c>
      <c r="D5" t="str">
        <f t="shared" si="0"/>
        <v>Schematic\Connectors\Conn_5pin.SchLib</v>
      </c>
      <c r="E5" s="2" t="s">
        <v>117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118</v>
      </c>
      <c r="B6" t="s">
        <v>119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120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121</v>
      </c>
      <c r="B7" t="s">
        <v>122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123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2024-11-10T16:19:41Z</dcterms:modified>
</cp:coreProperties>
</file>
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A3479991-081B-48CC-BAFA-20C426C2A23C}" xr6:coauthVersionLast="47" xr6:coauthVersionMax="47" xr10:uidLastSave="{00000000-0000-0000-0000-000000000000}"/>
  <bookViews>
    <workbookView xWindow="-110" yWindow="-110" windowWidth="25820" windowHeight="14020" activeTab="7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1" l="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J39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2FF60889-90F6-4068-BF81-A15AE486C249}" name="Other" type="4" refreshedVersion="0" background="1">
    <webPr xml="1" sourceData="1" url="C:\Users\1\Desktop\testlib\Готовое\Other.xml" htmlTables="1" htmlFormat="all"/>
  </connection>
  <connection id="10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1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2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3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4" xr16:uid="{D8C58BCC-C573-42A7-95CA-60E0EBCAC4FF}" name="TVS" type="4" refreshedVersion="0" background="1">
    <webPr xml="1" sourceData="1" url="C:\Users\1\Desktop\testlib\Готовое\TVS.xml" htmlTables="1" htmlFormat="all"/>
  </connection>
  <connection id="15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<sst xmlns="http://schemas.openxmlformats.org/spreadsheetml/2006/main" count="1484" uniqueCount="179">
  <si>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</si>
  <si>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</si>
  <si>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</si>
  <si>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</si>
  <si>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</si>
  <si>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</si>
  <si>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</si>
  <si>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</si>
  <si>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</si>
  <si>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</si>
  <si>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</si>
  <si>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</si>
  <si>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</si>
  <si>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</si>
  <si>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</si>
  <si>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</si>
  <si>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</si>
  <si>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</si>
  <si>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</si>
  <si>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</si>
  <si>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</si>
  <si>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</si>
  <si>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</si>
  <si>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</si>
  <si>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</si>
  <si>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</si>
  <si>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</si>
  <si>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</si>
  <si>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</si>
  <si>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</si>
  <si>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</si>
  <si>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</si>
  <si>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</si>
  <si>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</si>
  <si>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</si>
  <si>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</si>
  <si>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</si>
  <si>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</si>
  <si>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</si>
  <si>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</si>
  <si>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</si>
  <si>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</si>
  <si>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</si>
  <si>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</si>
  <si>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</si>
  <si>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</si>
  <si>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</si>
  <si>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</si>
  <si>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</si>
  <si>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</si>
  <si>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</si>
  <si>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</si>
  <si>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</si>
  <si>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</si>
  <si>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</si>
  <si>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</si>
  <si>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</si>
  <si>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</si>
  <si>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</si>
  <si>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</si>
  <si>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</si>
  <si>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</si>
  <si>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</si>
  <si>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</si>
  <si>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</si>
  <si>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</si>
  <si>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</si>
  <si>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</si>
  <si>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</si>
  <si>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</si>
  <si>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</si>
  <si>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</si>
  <si>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</si>
  <si>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</si>
  <si>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</si>
  <si>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</si>
  <si>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</si>
  <si>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</si>
  <si>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</si>
  <si>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</si>
  <si>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</si>
  <si>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</si>
  <si>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</si>
  <si>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</si>
  <si>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</si>
  <si>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</si>
  <si>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</si>
  <si>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</si>
  <si>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</si>
  <si>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</si>
  <si>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</si>
  <si>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</si>
  <si>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</si>
  <si>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</si>
  <si>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</si>
  <si>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</si>
  <si>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</si>
  <si>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</si>
  <si>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</si>
  <si>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</si>
  <si>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</si>
  <si>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</si>
  <si>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</si>
  <si>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</si>
  <si>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</si>
  <si>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</si>
  <si>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</si>
  <si>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</si>
  <si>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</si>
  <si>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</si>
  <si>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</si>
  <si>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</si>
  <si>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</si>
  <si>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</si>
  <si>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</si>
  <si>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</si>
  <si>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</si>
  <si>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</si>
  <si>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</si>
  <si>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</si>
  <si>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</si>
  <si>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</si>
  <si>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</si>
  <si>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</si>
  <si>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</si>
  <si>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</si>
  <si>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</si>
  <si>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</si>
  <si>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</si>
  <si>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</si>
  <si>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</si>
  <si>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</si>
  <si>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</si>
  <si>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</si>
  <si>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</si>
  <si>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</si>
  <si>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</si>
  <si>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</si>
  <si>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</si>
  <si>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</si>
  <si>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</si>
  <si>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</si>
  <si>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</si>
  <si>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</si>
  <si>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</si>
  <si>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</si>
  <si>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</si>
  <si>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</si>
  <si>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</si>
  <si>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</si>
  <si>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</si>
  <si>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</si>
  <si>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</si>
  <si>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</si>
  <si>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</si>
  <si>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</si>
  <si>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</si>
  <si>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</si>
  <si>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</si>
  <si>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</si>
  <si>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</si>
  <si>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</si>
  <si>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</si>
  <si>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</si>
  <si>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</si>
  <si>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</si>
  <si>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</si>
  <si>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</si>
  <si>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</si>
  <si>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</si>
  <si>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</si>
  <si>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</si>
  <si>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</si>
  <si>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Schematic\ICM42688P.SchLib</t>
  </si>
  <si>
    <t>Footprints\LGA-14.PcbLib</t>
  </si>
  <si>
    <t>LGA-14</t>
  </si>
  <si>
    <t>Jumper</t>
  </si>
  <si>
    <t>Запаиваемая перемычка</t>
  </si>
  <si>
    <t>NP0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</si>
</sst>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8" DataBindingLoadMode="1"/>
  </Map>
  <Map ID="11" Name="Other" RootElement="Other" SchemaID="Schema11" ShowImportExportValidationErrors="false" AutoFit="true" Append="false" PreserveSortAFLayout="true" PreserveFormat="true">
    <DataBinding FileBinding="true" ConnectionID="9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1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2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3" DataBindingLoadMode="1"/>
  </Map>
  <Map ID="6" Name="TVS" RootElement="TVS" SchemaID="Schema6" ShowImportExportValidationErrors="false" AutoFit="true" Append="false" PreserveSortAFLayout="true" PreserveFormat="true">
    <DataBinding FileBinding="true" ConnectionID="14" DataBindingLoadMode="1"/>
  </Map>
  <Map ID="5" Name="Zener" RootElement="Zener" SchemaID="Schema5" ShowImportExportValidationErrors="false" AutoFit="true" Append="false" PreserveSortAFLayout="true" PreserveFormat="true">
    <DataBinding FileBinding="true" ConnectionID="1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1" tableType="xml" totalsRowShown="0" headerRowDxfId="103" connectionId="6">
  <autoFilter ref="A1:G11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2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5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1" connectionId="14">
  <autoFilter ref="A1:K4" xr:uid="{35EAFB53-5120-48E8-B7CF-F527619EF3EB}"/>
  <tableColumns count="11">
    <tableColumn id="1" xr3:uid="{8FF51BCB-1CBC-41C4-B0E3-6994AEB249EF}" uniqueName="PartNumber" name="Part Number" dataDxfId="100">
      <xmlColumnPr mapId="6" xpath="/TVS/Part/PartNumber" xmlDataType="string"/>
    </tableColumn>
    <tableColumn id="2" xr3:uid="{254709FF-71DC-4C18-A11E-3F482A74905F}" uniqueName="Description" name="Description" dataDxfId="9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6">
      <xmlColumnPr mapId="6" xpath="/TVS/Part/LibraryRef" xmlDataType="string"/>
    </tableColumn>
    <tableColumn id="6" xr3:uid="{C5C7E783-B9B8-469C-B255-FC24F12E71DC}" uniqueName="FootprintPath1" name="Footprint Path 1" dataDxfId="9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4">
      <xmlColumnPr mapId="6" xpath="/TVS/Part/FootprintRef1" xmlDataType="string"/>
    </tableColumn>
    <tableColumn id="8" xr3:uid="{16B3AEE3-BEA7-4870-9494-F8A0EC5E9CCD}" uniqueName="VoltageNominal" name="Voltage nominal (V)" dataDxfId="93">
      <xmlColumnPr mapId="6" xpath="/TVS/Part/VoltageNominal" xmlDataType="string"/>
    </tableColumn>
    <tableColumn id="9" xr3:uid="{7DDE345A-D145-4A55-B781-91F88095B1FE}" uniqueName="Power" name="Power (W)" dataDxfId="92">
      <xmlColumnPr mapId="6" xpath="/TVS/Part/Power" xmlDataType="string"/>
    </tableColumn>
    <tableColumn id="10" xr3:uid="{EBB777BC-3BC6-4EF4-AC63-F94C7CFCFC0E}" uniqueName="Value" name="Value" dataDxfId="9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0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89" connectionId="13">
  <autoFilter ref="A1:I6" xr:uid="{11DAD5D3-6841-4BFD-8583-65DE6E00D680}"/>
  <tableColumns count="9">
    <tableColumn id="1" xr3:uid="{59488B22-9EFD-4960-9418-72616CC8F6CC}" uniqueName="PartNumber" name="Part Number" dataDxfId="88">
      <xmlColumnPr mapId="8" xpath="/Transistors/Part/PartNumber" xmlDataType="string"/>
    </tableColumn>
    <tableColumn id="2" xr3:uid="{B6051881-2BC5-4D5F-9AEE-A86DF4412A4C}" uniqueName="Description" name="Description" dataDxfId="87">
      <xmlColumnPr mapId="8" xpath="/Transistors/Part/Description" xmlDataType="string"/>
    </tableColumn>
    <tableColumn id="3" xr3:uid="{377CEA9C-B3A1-4F57-920A-BA1AC9164370}" uniqueName="Comment" name="Comment" dataDxfId="8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5">
      <xmlColumnPr mapId="8" xpath="/Transistors/Part/LibraryPath" xmlDataType="string"/>
    </tableColumn>
    <tableColumn id="5" xr3:uid="{02693066-D721-4B47-BEE5-D678B96A10FB}" uniqueName="LibraryRef" name="Library Ref" dataDxfId="8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2" dataDxfId="81" connectionId="11">
  <autoFilter ref="A1:I170" xr:uid="{02061886-A591-4FD8-8C5B-3D1D2DB1F417}"/>
  <tableColumns count="9">
    <tableColumn id="1" xr3:uid="{1DE1C76C-B7F9-47FB-9EB0-156A2D87FD9E}" uniqueName="PartNumber" name="Part Number" dataDxfId="80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79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8">
      <xmlColumnPr mapId="38" xpath="/Resistors/Part/Comment" xmlDataType="string"/>
    </tableColumn>
    <tableColumn id="4" xr3:uid="{255B034D-70D9-458C-8FA7-FEB8317A497F}" uniqueName="LibraryPath" name="Library Path" dataDxfId="77">
      <xmlColumnPr mapId="38" xpath="/Resistors/Part/LibraryPath" xmlDataType="string"/>
    </tableColumn>
    <tableColumn id="5" xr3:uid="{A3865419-9EA5-4AAA-B07F-FF52D437DC02}" uniqueName="LibraryRef" name="Library Ref" dataDxfId="76">
      <xmlColumnPr mapId="38" xpath="/Resistors/Part/LibraryRef" xmlDataType="string"/>
    </tableColumn>
    <tableColumn id="6" xr3:uid="{CE64E0F7-2F9E-477F-8D1B-040D90CB5685}" uniqueName="Value" name="Value" dataDxfId="75">
      <xmlColumnPr mapId="38" xpath="/Resistors/Part/Value" xmlDataType="string"/>
    </tableColumn>
    <tableColumn id="7" xr3:uid="{41F7703B-5A2D-47F6-B9C9-B9D386FC3CF8}" uniqueName="Tolerance" name="Tolerance" dataDxfId="74">
      <xmlColumnPr mapId="38" xpath="/Resistors/Part/Tolerance" xmlDataType="double"/>
    </tableColumn>
    <tableColumn id="8" xr3:uid="{429E7452-DB30-417B-B5E7-8F2AA238A5A4}" uniqueName="FootprintPath1" name="Footprint Path 1" dataDxfId="73">
      <xmlColumnPr mapId="38" xpath="/Resistors/Part/FootprintPath1" xmlDataType="string"/>
    </tableColumn>
    <tableColumn id="9" xr3:uid="{298A4272-57F5-45C2-AFCD-965909B2DD40}" uniqueName="FootprintRef1" name="Footprint Ref 1" dataDxfId="72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1" dataDxfId="70" connectionId="1">
  <autoFilter ref="A1:T3" xr:uid="{1041C5C1-00FD-47DC-8B7C-9DEBE212D9D4}"/>
  <tableColumns count="20">
    <tableColumn id="1" xr3:uid="{55BDD111-6381-449E-BF2B-3FEC8107762D}" uniqueName="PartNumber" name="Part Number" dataDxfId="69">
      <xmlColumnPr mapId="18" xpath="/Capacitors/Part/PartNumber" xmlDataType="string"/>
    </tableColumn>
    <tableColumn id="2" xr3:uid="{0D3E1F2C-B0CC-4A36-A41B-2F2DAEC98E3B}" uniqueName="Description" name="Description" dataDxfId="68">
      <xmlColumnPr mapId="18" xpath="/Capacitors/Part/Description" xmlDataType="string"/>
    </tableColumn>
    <tableColumn id="3" xr3:uid="{16739D52-8082-4E8D-B1E1-B82F60766E2A}" uniqueName="Comment" name="Comment" dataDxfId="67">
      <xmlColumnPr mapId="18" xpath="/Capacitors/Part/Comment" xmlDataType="string"/>
    </tableColumn>
    <tableColumn id="4" xr3:uid="{AC1F3F2E-0C78-451D-9178-0A9D15C49726}" uniqueName="LibraryPath" name="Library Path" dataDxfId="66">
      <xmlColumnPr mapId="18" xpath="/Capacitors/Part/LibraryPath" xmlDataType="string"/>
    </tableColumn>
    <tableColumn id="5" xr3:uid="{9169ABA3-E41E-40E0-B785-3D3B749D70BB}" uniqueName="LibraryRef" name="Library Ref" dataDxfId="65">
      <xmlColumnPr mapId="18" xpath="/Capacitors/Part/LibraryRef" xmlDataType="string"/>
    </tableColumn>
    <tableColumn id="6" xr3:uid="{01EADD2D-36E6-41EE-B894-B537CCE6649E}" uniqueName="Value" name="Value" dataDxfId="64">
      <xmlColumnPr mapId="18" xpath="/Capacitors/Part/Value" xmlDataType="string"/>
    </tableColumn>
    <tableColumn id="7" xr3:uid="{EC779EF2-47DD-4E8F-A8D2-159E83C79180}" uniqueName="FootprintPath1" name="Footprint Path 1" dataDxfId="63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2">
      <xmlColumnPr mapId="18" xpath="/Capacitors/Part/FootprintRef1" xmlDataType="string"/>
    </tableColumn>
    <tableColumn id="9" xr3:uid="{85136BD9-A68F-40E0-9A6F-E71ECA929F04}" uniqueName="FootprintPath2" name="Footprint Path 2" dataDxfId="61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0">
      <xmlColumnPr mapId="18" xpath="/Capacitors/Part/FootprintRef2" xmlDataType="string"/>
    </tableColumn>
    <tableColumn id="11" xr3:uid="{50FA7750-FC9E-444C-8D52-C6B51BBD63C1}" uniqueName="FootprintPath3" name="Footprint Path 3" dataDxfId="59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8">
      <xmlColumnPr mapId="18" xpath="/Capacitors/Part/FootprintRef3" xmlDataType="string"/>
    </tableColumn>
    <tableColumn id="13" xr3:uid="{6B23463C-82AA-426D-ACBC-49A19C1D46FA}" uniqueName="FootprintPath4" name="Footprint Path 4" dataDxfId="57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6">
      <xmlColumnPr mapId="18" xpath="/Capacitors/Part/FootprintRef4" xmlDataType="string"/>
    </tableColumn>
    <tableColumn id="15" xr3:uid="{FD0F620C-73A8-49FB-B6E9-F06F81ED3185}" uniqueName="FootprintPath5" name="Footprint Path 5" dataDxfId="55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4">
      <xmlColumnPr mapId="18" xpath="/Capacitors/Part/FootprintRef5" xmlDataType="string"/>
    </tableColumn>
    <tableColumn id="17" xr3:uid="{130B1CD3-35EC-447E-93DF-ED8F8DC7A59A}" uniqueName="FootprintPath6" name="Footprint Path 6" dataDxfId="53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2">
      <xmlColumnPr mapId="18" xpath="/Capacitors/Part/FootprintRef6" xmlDataType="string"/>
    </tableColumn>
    <tableColumn id="19" xr3:uid="{6809872D-01AC-4EF6-B33F-6B8DA2D054C9}" uniqueName="FootprintPath7" name="Footprint Path 7" dataDxfId="51">
      <xmlColumnPr mapId="18" xpath="/Capacitors/Part/FootprintPath7" xmlDataType="string"/>
    </tableColumn>
    <tableColumn id="20" xr3:uid="{352E5BAE-89D3-4F1C-AA92-CDC22EDD2B11}" uniqueName="FootprintRef7" name="Footprint Ref 7" dataDxfId="50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9" tableType="xml" totalsRowShown="0" headerRowDxfId="49" dataDxfId="47" headerRowBorderDxfId="48" tableBorderDxfId="46" totalsRowBorderDxfId="45" connectionId="2">
  <autoFilter ref="A1:L39" xr:uid="{878D1F98-A9F5-4A73-9AF6-F1958A2298E5}"/>
  <tableColumns count="12">
    <tableColumn id="1" xr3:uid="{BE360A92-309D-442F-8CF6-729301B48AF1}" uniqueName="PartNumber" name="Part Number" dataDxfId="0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6" connectionId="8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5" dataDxfId="14" connectionId="9">
  <autoFilter ref="A1:I6" xr:uid="{071F457A-0F82-4CD6-80C4-65E86DBEF353}"/>
  <tableColumns count="9">
    <tableColumn id="1" xr3:uid="{AE9DCB61-0A9B-41D9-AC76-56D9ED6F9D71}" uniqueName="PartNumber" name="Part Number" dataDxfId="13">
      <xmlColumnPr mapId="11" xpath="/Other/Part/PartNumber" xmlDataType="string"/>
    </tableColumn>
    <tableColumn id="2" xr3:uid="{8662C04B-9C7C-48A2-ACC7-0FAAF1F41588}" uniqueName="Description" name="Description" dataDxfId="12">
      <xmlColumnPr mapId="11" xpath="/Other/Part/Description" xmlDataType="string"/>
    </tableColumn>
    <tableColumn id="3" xr3:uid="{7CF3CA75-1923-4F19-999C-14E1807BD3F5}" uniqueName="Comment" name="Comment" dataDxfId="11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0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8">
      <xmlColumnPr mapId="11" xpath="/Other/Part/FootprintPath1" xmlDataType="string"/>
    </tableColumn>
    <tableColumn id="7" xr3:uid="{78484622-732C-4ACF-9F43-B1AC2CDD73FA}" uniqueName="FootprintRef1" name="Footprint Ref 1" dataDxfId="7">
      <xmlColumnPr mapId="11" xpath="/Other/Part/FootprintRef1" xmlDataType="string"/>
    </tableColumn>
    <tableColumn id="8" xr3:uid="{9B1D9BE1-3884-44C5-88CA-6A2CCE154C24}" uniqueName="FootprintPath2" name="Footprint Path 2" dataDxfId="6">
      <xmlColumnPr mapId="11" xpath="/Other/Part/FootprintPath2" xmlDataType="string"/>
    </tableColumn>
    <tableColumn id="9" xr3:uid="{41DD9B28-B52E-42E2-980C-18F4A1B9EC96}" uniqueName="FootprintRef2" name="Footprint Ref 2" dataDxfId="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4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A11" sqref="A11:G11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153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171</v>
      </c>
      <c r="B11" t="s">
        <v>172</v>
      </c>
      <c r="C11" s="2" t="s">
        <v>171</v>
      </c>
      <c r="D11" t="s">
        <v>173</v>
      </c>
      <c r="E11" t="s">
        <v>171</v>
      </c>
      <c r="F11" t="s">
        <v>174</v>
      </c>
      <c r="G11" t="s">
        <v>175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152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135</v>
      </c>
      <c r="G2" s="4">
        <v>0.01</v>
      </c>
      <c r="H2" s="3" t="s">
        <v>136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137</v>
      </c>
      <c r="G3" s="4">
        <v>0.01</v>
      </c>
      <c r="H3" s="3" t="s">
        <v>136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138</v>
      </c>
      <c r="G4" s="4">
        <v>0.01</v>
      </c>
      <c r="H4" s="3" t="s">
        <v>136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139</v>
      </c>
      <c r="G5" s="4">
        <v>0.01</v>
      </c>
      <c r="H5" s="3" t="s">
        <v>136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140</v>
      </c>
      <c r="G6" s="4">
        <v>0.01</v>
      </c>
      <c r="H6" s="3" t="s">
        <v>136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141</v>
      </c>
      <c r="G7" s="4">
        <v>0.01</v>
      </c>
      <c r="H7" s="3" t="s">
        <v>136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142</v>
      </c>
      <c r="G8" s="4">
        <v>0.01</v>
      </c>
      <c r="H8" s="3" t="s">
        <v>136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143</v>
      </c>
      <c r="G9" s="4">
        <v>0.01</v>
      </c>
      <c r="H9" s="3" t="s">
        <v>136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144</v>
      </c>
      <c r="G10" s="4">
        <v>0.01</v>
      </c>
      <c r="H10" s="3" t="s">
        <v>136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145</v>
      </c>
      <c r="G11" s="4">
        <v>0.01</v>
      </c>
      <c r="H11" s="3" t="s">
        <v>136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154</v>
      </c>
      <c r="G12" s="4">
        <v>0.01</v>
      </c>
      <c r="H12" s="3" t="s">
        <v>136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155</v>
      </c>
      <c r="G13" s="4">
        <v>0.01</v>
      </c>
      <c r="H13" s="3" t="s">
        <v>136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156</v>
      </c>
      <c r="G14" s="4">
        <v>0.01</v>
      </c>
      <c r="H14" s="3" t="s">
        <v>136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157</v>
      </c>
      <c r="G15" s="4">
        <v>0.01</v>
      </c>
      <c r="H15" s="3" t="s">
        <v>136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158</v>
      </c>
      <c r="G16" s="4">
        <v>0.01</v>
      </c>
      <c r="H16" s="3" t="s">
        <v>136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159</v>
      </c>
      <c r="G17" s="4">
        <v>0.01</v>
      </c>
      <c r="H17" s="3" t="s">
        <v>136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160</v>
      </c>
      <c r="G18" s="4">
        <v>0.01</v>
      </c>
      <c r="H18" s="3" t="s">
        <v>136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146</v>
      </c>
      <c r="G19" s="4">
        <v>0.01</v>
      </c>
      <c r="H19" s="3" t="s">
        <v>136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147</v>
      </c>
      <c r="G20" s="4">
        <v>0.01</v>
      </c>
      <c r="H20" s="3" t="s">
        <v>136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148</v>
      </c>
      <c r="G21" s="4">
        <v>0.01</v>
      </c>
      <c r="H21" s="3" t="s">
        <v>136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149</v>
      </c>
      <c r="G22" s="4">
        <v>0.01</v>
      </c>
      <c r="H22" s="3" t="s">
        <v>136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150</v>
      </c>
      <c r="G23" s="4">
        <v>0.01</v>
      </c>
      <c r="H23" s="3" t="s">
        <v>136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170</v>
      </c>
      <c r="G24" s="4">
        <v>0.01</v>
      </c>
      <c r="H24" s="3" t="s">
        <v>136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151</v>
      </c>
      <c r="G25" s="4">
        <v>0.01</v>
      </c>
      <c r="H25" s="3" t="s">
        <v>136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136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136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136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136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136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136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136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136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136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136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136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136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136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136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136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136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136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136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136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136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136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136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136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136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136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136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136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136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136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136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136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136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136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136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136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136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136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136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136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136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136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136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136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136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136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136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136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136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136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136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136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136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136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136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136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136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136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136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136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136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136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136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136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136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136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136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136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136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136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136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136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136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136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136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136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136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136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136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136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136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136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136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136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136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136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136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136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136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136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136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136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136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136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136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136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136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136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136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136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136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136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136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136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136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136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136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136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136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136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136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136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136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136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136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136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136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136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136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136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136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136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136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136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136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136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136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136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136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136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136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136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136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136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136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136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136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136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136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136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136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136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136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136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136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136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168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9"/>
  <sheetViews>
    <sheetView tabSelected="1" topLeftCell="A31" workbookViewId="0">
      <selection activeCell="A39" sqref="A39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152</v>
      </c>
      <c r="H1" s="13" t="s">
        <v>163</v>
      </c>
      <c r="I1" s="13" t="s">
        <v>161</v>
      </c>
      <c r="J1" s="11" t="s">
        <v>12</v>
      </c>
      <c r="K1" s="11" t="s">
        <v>8</v>
      </c>
      <c r="L1" s="13" t="s">
        <v>164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162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162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162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162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162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162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162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162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162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162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162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162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162</v>
      </c>
      <c r="J14" s="5" t="str">
        <f t="shared" si="0"/>
        <v>Footprints\Capacitors\0603C.PcbLib</v>
      </c>
      <c r="K14" s="5" t="s">
        <v>37</v>
      </c>
      <c r="L14" s="12">
        <f t="shared" ref="L14:L38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162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162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162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162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162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162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162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162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162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162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162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162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162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162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162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162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162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162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162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162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162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162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162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162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Capacitor_12p_10_50V_NP0_0603C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12 п</v>
      </c>
      <c r="G39" s="20">
        <v>0.1</v>
      </c>
      <c r="H39" s="14">
        <v>50</v>
      </c>
      <c r="I39" s="15" t="s">
        <v>178</v>
      </c>
      <c r="J39" s="15" t="str">
        <f t="shared" ref="J39" si="2">CONCATENATE("Footprints\Capacitors\",K39,".PcbLib")</f>
        <v>Footprints\Capacitors\0603C.PcbLib</v>
      </c>
      <c r="K39" s="15" t="s">
        <v>37</v>
      </c>
      <c r="L39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152</v>
      </c>
      <c r="H1" s="11" t="s">
        <v>163</v>
      </c>
      <c r="I1" s="11" t="s">
        <v>165</v>
      </c>
      <c r="J1" s="11" t="s">
        <v>12</v>
      </c>
      <c r="K1" s="11" t="s">
        <v>8</v>
      </c>
      <c r="L1" s="21" t="s">
        <v>167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169</v>
      </c>
      <c r="C2" s="17" t="s">
        <v>27</v>
      </c>
      <c r="D2" s="17" t="s">
        <v>168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166</v>
      </c>
      <c r="J2" s="17" t="str">
        <f>CONCATENATE("Footprints\Capacitors\",K2,".PcbLib")</f>
        <v>Footprints\Capacitors\TC_A.PcbLib</v>
      </c>
      <c r="K2" s="17" t="s">
        <v>125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169</v>
      </c>
      <c r="C3" s="5" t="s">
        <v>27</v>
      </c>
      <c r="D3" s="5" t="s">
        <v>168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166</v>
      </c>
      <c r="J3" s="5" t="str">
        <f t="shared" ref="J3:J20" si="2">CONCATENATE("Footprints\Capacitors\",K3,".PcbLib")</f>
        <v>Footprints\Capacitors\TC_A.PcbLib</v>
      </c>
      <c r="K3" s="5" t="s">
        <v>125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169</v>
      </c>
      <c r="C4" s="5" t="s">
        <v>27</v>
      </c>
      <c r="D4" s="5" t="s">
        <v>168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166</v>
      </c>
      <c r="J4" s="5" t="str">
        <f t="shared" si="2"/>
        <v>Footprints\Capacitors\TC_A.PcbLib</v>
      </c>
      <c r="K4" s="5" t="s">
        <v>125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169</v>
      </c>
      <c r="C5" s="5" t="s">
        <v>27</v>
      </c>
      <c r="D5" s="5" t="s">
        <v>168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166</v>
      </c>
      <c r="J5" s="5" t="str">
        <f t="shared" si="2"/>
        <v>Footprints\Capacitors\TC_A.PcbLib</v>
      </c>
      <c r="K5" s="5" t="s">
        <v>125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169</v>
      </c>
      <c r="C6" s="5" t="s">
        <v>27</v>
      </c>
      <c r="D6" s="5" t="s">
        <v>168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166</v>
      </c>
      <c r="J6" s="5" t="str">
        <f t="shared" si="2"/>
        <v>Footprints\Capacitors\TC_A.PcbLib</v>
      </c>
      <c r="K6" s="5" t="s">
        <v>125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169</v>
      </c>
      <c r="C7" s="5" t="s">
        <v>27</v>
      </c>
      <c r="D7" s="5" t="s">
        <v>168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166</v>
      </c>
      <c r="J7" s="5" t="str">
        <f t="shared" si="2"/>
        <v>Footprints\Capacitors\TC_A.PcbLib</v>
      </c>
      <c r="K7" s="5" t="s">
        <v>125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169</v>
      </c>
      <c r="C8" s="5" t="s">
        <v>27</v>
      </c>
      <c r="D8" s="5" t="s">
        <v>168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166</v>
      </c>
      <c r="J8" s="5" t="str">
        <f t="shared" si="2"/>
        <v>Footprints\Capacitors\TC_A.PcbLib</v>
      </c>
      <c r="K8" s="5" t="s">
        <v>125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169</v>
      </c>
      <c r="C9" s="5" t="s">
        <v>27</v>
      </c>
      <c r="D9" s="5" t="s">
        <v>168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166</v>
      </c>
      <c r="J9" s="5" t="str">
        <f t="shared" si="2"/>
        <v>Footprints\Capacitors\TC_A.PcbLib</v>
      </c>
      <c r="K9" s="5" t="s">
        <v>125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169</v>
      </c>
      <c r="C10" s="5" t="s">
        <v>27</v>
      </c>
      <c r="D10" s="5" t="s">
        <v>168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166</v>
      </c>
      <c r="J10" s="5" t="str">
        <f t="shared" si="2"/>
        <v>Footprints\Capacitors\TC_A.PcbLib</v>
      </c>
      <c r="K10" s="5" t="s">
        <v>125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169</v>
      </c>
      <c r="C11" s="5" t="s">
        <v>27</v>
      </c>
      <c r="D11" s="5" t="s">
        <v>168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166</v>
      </c>
      <c r="J11" s="5" t="str">
        <f t="shared" si="2"/>
        <v>Footprints\Capacitors\TC_A.PcbLib</v>
      </c>
      <c r="K11" s="5" t="s">
        <v>125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169</v>
      </c>
      <c r="C12" s="5" t="s">
        <v>27</v>
      </c>
      <c r="D12" s="5" t="s">
        <v>168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166</v>
      </c>
      <c r="J12" s="5" t="str">
        <f t="shared" si="2"/>
        <v>Footprints\Capacitors\TC_A.PcbLib</v>
      </c>
      <c r="K12" s="5" t="s">
        <v>125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169</v>
      </c>
      <c r="C13" s="5" t="s">
        <v>27</v>
      </c>
      <c r="D13" s="5" t="s">
        <v>168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166</v>
      </c>
      <c r="J13" s="5" t="str">
        <f t="shared" si="2"/>
        <v>Footprints\Capacitors\TC_A.PcbLib</v>
      </c>
      <c r="K13" s="5" t="s">
        <v>125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169</v>
      </c>
      <c r="C14" s="5" t="s">
        <v>27</v>
      </c>
      <c r="D14" s="5" t="s">
        <v>168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166</v>
      </c>
      <c r="J14" s="5" t="str">
        <f t="shared" si="2"/>
        <v>Footprints\Capacitors\TC_A.PcbLib</v>
      </c>
      <c r="K14" s="5" t="s">
        <v>125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169</v>
      </c>
      <c r="C15" s="5" t="s">
        <v>27</v>
      </c>
      <c r="D15" s="5" t="s">
        <v>168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166</v>
      </c>
      <c r="J15" s="5" t="str">
        <f t="shared" si="2"/>
        <v>Footprints\Capacitors\TC_A.PcbLib</v>
      </c>
      <c r="K15" s="5" t="s">
        <v>125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169</v>
      </c>
      <c r="C16" s="5" t="s">
        <v>27</v>
      </c>
      <c r="D16" s="5" t="s">
        <v>168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166</v>
      </c>
      <c r="J16" s="5" t="str">
        <f t="shared" si="2"/>
        <v>Footprints\Capacitors\TC_A.PcbLib</v>
      </c>
      <c r="K16" s="5" t="s">
        <v>125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169</v>
      </c>
      <c r="C17" s="5" t="s">
        <v>27</v>
      </c>
      <c r="D17" s="5" t="s">
        <v>168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166</v>
      </c>
      <c r="J17" s="5" t="str">
        <f t="shared" si="2"/>
        <v>Footprints\Capacitors\TC_A.PcbLib</v>
      </c>
      <c r="K17" s="5" t="s">
        <v>125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169</v>
      </c>
      <c r="C18" s="5" t="s">
        <v>27</v>
      </c>
      <c r="D18" s="5" t="s">
        <v>168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166</v>
      </c>
      <c r="J18" s="5" t="str">
        <f t="shared" si="2"/>
        <v>Footprints\Capacitors\TC_A.PcbLib</v>
      </c>
      <c r="K18" s="5" t="s">
        <v>125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169</v>
      </c>
      <c r="C19" s="5" t="s">
        <v>27</v>
      </c>
      <c r="D19" s="5" t="s">
        <v>168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166</v>
      </c>
      <c r="J19" s="5" t="str">
        <f t="shared" si="2"/>
        <v>Footprints\Capacitors\TC_A.PcbLib</v>
      </c>
      <c r="K19" s="5" t="s">
        <v>125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169</v>
      </c>
      <c r="C20" s="15" t="s">
        <v>27</v>
      </c>
      <c r="D20" s="15" t="s">
        <v>168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166</v>
      </c>
      <c r="J20" s="15" t="str">
        <f t="shared" si="2"/>
        <v>Footprints\Capacitors\TC_A.PcbLib</v>
      </c>
      <c r="K20" s="15" t="s">
        <v>125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176</v>
      </c>
      <c r="B6" s="7" t="s">
        <v>177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176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2024-11-13T20:43:41Z</dcterms:modified>
</cp:coreProperties>
</file>
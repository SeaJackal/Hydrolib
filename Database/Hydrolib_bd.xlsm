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98458B32-A468-428D-8FF1-57ACC6B2D47F}" xr6:coauthVersionLast="47" xr6:coauthVersionMax="47" xr10:uidLastSave="{00000000-0000-0000-0000-000000000000}"/>
  <bookViews>
    <workbookView xWindow="-110" yWindow="-110" windowWidth="25820" windowHeight="14020" activeTab="8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D14" i="1"/>
  <c r="E14" i="1"/>
  <c r="F14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A171" i="2"/>
  <c r="J47" i="11"/>
  <c r="F47" i="11"/>
  <c r="A47" i="11"/>
  <c r="C5" i="8"/>
  <c r="D5" i="8"/>
  <c r="F5" i="8"/>
  <c r="J39" i="11"/>
  <c r="L39" i="11"/>
  <c r="A39" i="11" s="1"/>
  <c r="A40" i="11"/>
  <c r="F40" i="11"/>
  <c r="J40" i="11"/>
  <c r="L40" i="11"/>
  <c r="A41" i="11"/>
  <c r="F41" i="11"/>
  <c r="J41" i="11"/>
  <c r="L41" i="11"/>
  <c r="A42" i="11"/>
  <c r="F42" i="11"/>
  <c r="J42" i="11"/>
  <c r="L42" i="11"/>
  <c r="A43" i="11"/>
  <c r="F43" i="11"/>
  <c r="J43" i="11"/>
  <c r="L43" i="11"/>
  <c r="A44" i="11"/>
  <c r="F44" i="11"/>
  <c r="J44" i="11"/>
  <c r="L44" i="11"/>
  <c r="A45" i="11"/>
  <c r="F45" i="11"/>
  <c r="J45" i="11"/>
  <c r="L45" i="11"/>
  <c r="A46" i="11"/>
  <c r="F46" i="11"/>
  <c r="J46" i="11"/>
  <c r="L46" i="11"/>
  <c r="A48" i="11"/>
  <c r="F48" i="11"/>
  <c r="J48" i="11"/>
  <c r="C13" i="1"/>
  <c r="D13" i="1"/>
  <c r="E13" i="1"/>
  <c r="F13" i="1"/>
  <c r="C11" i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6" i="5"/>
  <c r="C6" i="5"/>
  <c r="D6" i="5"/>
  <c r="E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F38" i="2"/>
  <c r="F39" i="2"/>
  <c r="F40" i="2"/>
  <c r="F41" i="2"/>
  <c r="F42" i="2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F166" i="2"/>
  <c r="F165" i="2"/>
  <c r="F164" i="2"/>
  <c r="F163" i="2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F155" i="2"/>
  <c r="A155" i="2" s="1"/>
  <c r="F154" i="2"/>
  <c r="A154" i="2" s="1"/>
  <c r="F153" i="2"/>
  <c r="A153" i="2" s="1"/>
  <c r="F152" i="2"/>
  <c r="F151" i="2"/>
  <c r="F150" i="2"/>
  <c r="F149" i="2"/>
  <c r="F148" i="2"/>
  <c r="F147" i="2"/>
  <c r="F146" i="2"/>
  <c r="A146" i="2" s="1"/>
  <c r="F121" i="2"/>
  <c r="A121" i="2" s="1"/>
  <c r="F119" i="2"/>
  <c r="F118" i="2"/>
  <c r="F117" i="2"/>
  <c r="F108" i="2"/>
  <c r="A108" i="2" s="1"/>
  <c r="F106" i="2"/>
  <c r="A106" i="2" s="1"/>
  <c r="F104" i="2"/>
  <c r="F103" i="2"/>
  <c r="F102" i="2"/>
  <c r="F101" i="2"/>
  <c r="F100" i="2"/>
  <c r="F99" i="2"/>
  <c r="F98" i="2"/>
  <c r="A98" i="2" s="1"/>
  <c r="F96" i="2"/>
  <c r="A96" i="2" s="1"/>
  <c r="F95" i="2"/>
  <c r="A95" i="2" s="1"/>
  <c r="F91" i="2"/>
  <c r="A91" i="2" s="1"/>
  <c r="F90" i="2"/>
  <c r="A90" i="2" s="1"/>
  <c r="F88" i="2"/>
  <c r="F87" i="2"/>
  <c r="F86" i="2"/>
  <c r="F84" i="2"/>
  <c r="F83" i="2"/>
  <c r="F82" i="2"/>
  <c r="A82" i="2" s="1"/>
  <c r="F81" i="2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A68" i="2"/>
  <c r="F134" i="2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2" i="1"/>
  <c r="D3" i="1"/>
  <c r="C3" i="1"/>
  <c r="C2" i="1"/>
  <c r="F39" i="11" l="1"/>
  <c r="F114" i="2"/>
  <c r="A114" i="2" s="1"/>
  <c r="F66" i="2"/>
  <c r="F138" i="2" s="1"/>
  <c r="A138" i="2" s="1"/>
  <c r="A42" i="2"/>
  <c r="F65" i="2"/>
  <c r="A41" i="2"/>
  <c r="F64" i="2"/>
  <c r="A64" i="2" s="1"/>
  <c r="A40" i="2"/>
  <c r="F63" i="2"/>
  <c r="F135" i="2" s="1"/>
  <c r="F61" i="2"/>
  <c r="F133" i="2" s="1"/>
  <c r="F113" i="2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L32" i="11"/>
  <c r="A152" i="2"/>
  <c r="A134" i="2"/>
  <c r="A118" i="2"/>
  <c r="F139" i="2"/>
  <c r="A139" i="2" s="1"/>
  <c r="A102" i="2"/>
  <c r="A100" i="2"/>
  <c r="A81" i="2"/>
  <c r="A65" i="2"/>
  <c r="A54" i="2"/>
  <c r="A115" i="2"/>
  <c r="A116" i="2"/>
  <c r="A113" i="2"/>
  <c r="F142" i="2"/>
  <c r="A104" i="2"/>
  <c r="A88" i="2"/>
  <c r="A72" i="2"/>
  <c r="A56" i="2"/>
  <c r="A135" i="2"/>
  <c r="A119" i="2"/>
  <c r="A103" i="2"/>
  <c r="A87" i="2"/>
  <c r="A71" i="2"/>
  <c r="A55" i="2"/>
  <c r="F129" i="2"/>
  <c r="F145" i="2"/>
  <c r="F89" i="2"/>
  <c r="F105" i="2"/>
  <c r="A165" i="2"/>
  <c r="A149" i="2"/>
  <c r="A133" i="2"/>
  <c r="A117" i="2"/>
  <c r="A101" i="2"/>
  <c r="A69" i="2"/>
  <c r="A53" i="2"/>
  <c r="A148" i="2"/>
  <c r="A84" i="2"/>
  <c r="A52" i="2"/>
  <c r="A164" i="2"/>
  <c r="F131" i="2"/>
  <c r="F107" i="2"/>
  <c r="A163" i="2"/>
  <c r="A147" i="2"/>
  <c r="A99" i="2"/>
  <c r="A83" i="2"/>
  <c r="A67" i="2"/>
  <c r="A51" i="2"/>
  <c r="F132" i="2"/>
  <c r="F92" i="2"/>
  <c r="A66" i="2"/>
  <c r="A50" i="2"/>
  <c r="F109" i="2"/>
  <c r="F94" i="2"/>
  <c r="F110" i="2"/>
  <c r="F93" i="2"/>
  <c r="F111" i="2"/>
  <c r="A79" i="2"/>
  <c r="A63" i="2"/>
  <c r="F136" i="2"/>
  <c r="F112" i="2"/>
  <c r="A62" i="2"/>
  <c r="F137" i="2"/>
  <c r="F168" i="2"/>
  <c r="A125" i="2"/>
  <c r="A61" i="2"/>
  <c r="A124" i="2"/>
  <c r="A60" i="2"/>
  <c r="F169" i="2"/>
  <c r="A59" i="2"/>
  <c r="F140" i="2"/>
  <c r="A58" i="2"/>
  <c r="F141" i="2"/>
  <c r="F85" i="2"/>
  <c r="A73" i="2"/>
  <c r="A57" i="2"/>
  <c r="F15" i="12" l="1"/>
  <c r="A19" i="12"/>
  <c r="F19" i="12"/>
  <c r="A20" i="12"/>
  <c r="F20" i="12"/>
  <c r="A129" i="2"/>
  <c r="F120" i="2"/>
  <c r="A111" i="2"/>
  <c r="A93" i="2"/>
  <c r="A85" i="2"/>
  <c r="A109" i="2"/>
  <c r="A168" i="2"/>
  <c r="A137" i="2"/>
  <c r="A141" i="2"/>
  <c r="A107" i="2"/>
  <c r="F97" i="2"/>
  <c r="A131" i="2"/>
  <c r="A112" i="2"/>
  <c r="A142" i="2"/>
  <c r="A92" i="2"/>
  <c r="A136" i="2"/>
  <c r="A169" i="2"/>
  <c r="A110" i="2"/>
  <c r="A132" i="2"/>
  <c r="A94" i="2"/>
  <c r="A105" i="2"/>
  <c r="A140" i="2"/>
  <c r="A89" i="2"/>
  <c r="A145" i="2"/>
  <c r="A97" i="2" l="1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<sst xmlns="http://schemas.openxmlformats.org/spreadsheetml/2006/main" count="1551" uniqueCount="195">
  <si>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</si>
  <si>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</si>
  <si>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</si>
  <si>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</si>
  <si>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</si>
  <si>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</si>
  <si>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</si>
  <si>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</si>
  <si>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</si>
  <si>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</si>
  <si>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</si>
  <si>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</si>
  <si>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</si>
  <si>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</si>
  <si>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</si>
  <si>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</si>
  <si>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</si>
  <si>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</si>
  <si>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</si>
  <si>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</si>
  <si>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</si>
  <si>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</si>
  <si>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</si>
  <si>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</si>
  <si>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</si>
  <si>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</si>
  <si>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</si>
  <si>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</si>
  <si>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</si>
  <si>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</si>
  <si>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</si>
  <si>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</si>
  <si>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</si>
  <si>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</si>
  <si>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</si>
  <si>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</si>
  <si>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</si>
  <si>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</si>
  <si>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</si>
  <si>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</si>
  <si>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</si>
  <si>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</si>
  <si>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</si>
  <si>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</si>
  <si>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</si>
  <si>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</si>
  <si>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</si>
  <si>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</si>
  <si>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</si>
  <si>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</si>
  <si>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</si>
  <si>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</si>
  <si>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</si>
  <si>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</si>
  <si>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</si>
  <si>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</si>
  <si>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</si>
  <si>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</si>
  <si>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</si>
  <si>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</si>
  <si>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</si>
  <si>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</si>
  <si>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</si>
  <si>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</si>
  <si>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</si>
  <si>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</si>
  <si>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</si>
  <si>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</si>
  <si>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</si>
  <si>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</si>
  <si>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</si>
  <si>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</si>
  <si>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</si>
  <si>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</si>
  <si>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</si>
  <si>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</si>
  <si>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</si>
  <si>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</si>
  <si>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</si>
  <si>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</si>
  <si>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</si>
  <si>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</si>
  <si>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</si>
  <si>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</si>
  <si>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</si>
  <si>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</si>
  <si>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</si>
  <si>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</si>
  <si>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</si>
  <si>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</si>
  <si>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</si>
  <si>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</si>
  <si>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</si>
  <si>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</si>
  <si>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</si>
  <si>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</si>
  <si>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</si>
  <si>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</si>
  <si>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</si>
  <si>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</si>
  <si>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</si>
  <si>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</si>
  <si>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</si>
  <si>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</si>
  <si>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</si>
  <si>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</si>
  <si>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</si>
  <si>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</si>
  <si>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</si>
  <si>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</si>
  <si>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</si>
  <si>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</si>
  <si>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</si>
  <si>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</si>
  <si>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</si>
  <si>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</si>
  <si>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</si>
  <si>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</si>
  <si>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</si>
  <si>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</si>
  <si>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</si>
  <si>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</si>
  <si>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</si>
  <si>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</si>
  <si>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</si>
  <si>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</si>
  <si>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</si>
  <si>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</si>
  <si>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</si>
  <si>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</si>
  <si>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</si>
  <si>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</si>
  <si>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</si>
  <si>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</si>
  <si>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</si>
  <si>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</si>
  <si>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</si>
  <si>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</si>
  <si>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</si>
  <si>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</si>
  <si>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</si>
  <si>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</si>
  <si>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</si>
  <si>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</si>
  <si>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</si>
  <si>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</si>
  <si>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</si>
  <si>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</si>
  <si>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</si>
  <si>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</si>
  <si>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</si>
  <si>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</si>
  <si>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</si>
  <si>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</si>
  <si>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</si>
  <si>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</si>
  <si>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</si>
  <si>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</si>
  <si>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</si>
  <si>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</si>
  <si>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</si>
  <si>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</si>
  <si>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</si>
  <si>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</si>
  <si>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</si>
  <si>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</si>
  <si>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</si>
  <si>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</si>
  <si>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</si>
  <si>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</si>
  <si>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</si>
  <si>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</si>
  <si>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</si>
  <si>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</si>
  <si>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</si>
  <si>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</si>
  <si>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</si>
  <si>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</si>
  <si>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</si>
  <si>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</si>
  <si>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</si>
  <si>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</si>
  <si>
    <t>MCP2551</t>
  </si>
  <si>
    <t>Приёмопередатчик CAN</t>
  </si>
  <si>
    <t>CAN</t>
  </si>
  <si>
    <t>PESD2CAN</t>
  </si>
  <si>
    <t>TVS_2_1dir</t>
  </si>
  <si>
    <t>SMB</t>
  </si>
  <si>
    <t>Защитный диод для линии CAN</t>
  </si>
  <si>
    <t>RADIAL-2_10MM</t>
  </si>
  <si>
    <t>Электролитический конденсатор</t>
  </si>
  <si>
    <t>1206R</t>
  </si>
  <si>
    <t>Footprints/Resistors/1206R.PcbLib</t>
  </si>
  <si>
    <t>MC74AC125DR2</t>
  </si>
  <si>
    <t>SOIC-14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</si>
</sst>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Inductance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8" Name="Inductance" RootElement="Inductance" SchemaID="Schema17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104" connectionId="6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3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102" connectionId="15">
  <autoFilter ref="A1:K5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4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83" dataDxfId="82" connectionId="12">
  <autoFilter ref="A1:I171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48" tableType="xml" totalsRowShown="0" headerRowDxfId="50" dataDxfId="48" headerRowBorderDxfId="49" tableBorderDxfId="47" totalsRowBorderDxfId="46" connectionId="2">
  <autoFilter ref="A1:L48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I3" tableType="xml" totalsRowShown="0" headerRowDxfId="16" connectionId="9">
  <autoFilter ref="A1:I3" xr:uid="{495ACB2B-3C85-4F71-84FF-CAC97F2B3EF2}"/>
  <tableColumns count="9">
    <tableColumn id="1" xr3:uid="{4F8F63B8-3A4B-4AE4-B421-1BAE93F6BD1F}" uniqueName="PartNumber" name="Part Number">
      <xmlColumnPr mapId="68" xpath="/Inductance/Part/PartNumber" xmlDataType="string"/>
    </tableColumn>
    <tableColumn id="2" xr3:uid="{F21E8DDA-9A5D-4FAB-8B15-416C8B37F128}" uniqueName="Description" name="Description">
      <xmlColumnPr mapId="68" xpath="/Inductance/Part/Description" xmlDataType="string"/>
    </tableColumn>
    <tableColumn id="3" xr3:uid="{31E5D42E-C1C1-47D6-BF83-ADB5E383E42F}" uniqueName="Comment" name="Comment">
      <calculatedColumnFormula>A2</calculatedColumnFormula>
      <xmlColumnPr mapId="68" xpath="/Inductance/Part/Comment" xmlDataType="string"/>
    </tableColumn>
    <tableColumn id="4" xr3:uid="{7C7FE73A-35EF-44CB-A066-BD67518B756B}" uniqueName="LibraryPath" name="Library Path" dataDxfId="15">
      <xmlColumnPr mapId="68" xpath="/Inductance/Part/LibraryPath" xmlDataType="string"/>
    </tableColumn>
    <tableColumn id="5" xr3:uid="{93EF5672-D820-4E85-A99E-63FC29E4B3E2}" uniqueName="LibraryRef" name="Library Ref">
      <xmlColumnPr mapId="68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68" xpath="/Inductance/Part/FootprintPath1" xmlDataType="string"/>
    </tableColumn>
    <tableColumn id="7" xr3:uid="{49B409CD-94AC-4F2C-BC5E-E8FF519C8D6F}" uniqueName="FootprintRef1" name="Footprint Ref 1">
      <xmlColumnPr mapId="68" xpath="/Inductance/Part/FootprintRef1" xmlDataType="string"/>
    </tableColumn>
    <tableColumn id="8" xr3:uid="{71017A8D-C83B-4D64-80AC-6C5EC84419D6}" uniqueName="Inductance" name="Inductance (uH)">
      <xmlColumnPr mapId="68" xpath="/Inductance/Part/Inductance" xmlDataType="string"/>
    </tableColumn>
    <tableColumn id="9" xr3:uid="{C86E75F1-D335-4444-9B57-0EA51020BBA8}" uniqueName="Value" name="Value">
      <xmlColumnPr mapId="68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15" sqref="G15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  <row r="13" spans="1:20" x14ac:dyDescent="0.35">
      <c r="A13" t="s">
        <v>182</v>
      </c>
      <c r="B13" t="s">
        <v>183</v>
      </c>
      <c r="C13" s="2" t="str">
        <f>A13</f>
        <v>MCP2551</v>
      </c>
      <c r="D13" t="str">
        <f>CONCATENATE("Schematic\",A13,".SchLib")</f>
        <v>Schematic\MCP2551.SchLib</v>
      </c>
      <c r="E13" t="str">
        <f>A13</f>
        <v>MCP2551</v>
      </c>
      <c r="F13" t="str">
        <f>CONCATENATE("Footprints\",G13,".PcbLib")</f>
        <v>Footprints\SOIC-8.PcbLib</v>
      </c>
      <c r="G13" t="s">
        <v>79</v>
      </c>
    </row>
    <row r="14" spans="1:20" x14ac:dyDescent="0.35">
      <c r="A14" t="s">
        <v>193</v>
      </c>
      <c r="B14" t="s">
        <v>183</v>
      </c>
      <c r="C14" s="2" t="str">
        <f>A14</f>
        <v>MC74AC125DR2</v>
      </c>
      <c r="D14" t="str">
        <f>CONCATENATE("Schematic\",A14,".SchLib")</f>
        <v>Schematic\MC74AC125DR2.SchLib</v>
      </c>
      <c r="E14" t="str">
        <f>A14</f>
        <v>MC74AC125DR2</v>
      </c>
      <c r="F14" t="str">
        <f>CONCATENATE("Footprints\",G14,".PcbLib")</f>
        <v>Footprints\SOIC-14.PcbLib</v>
      </c>
      <c r="G14" t="s">
        <v>194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B6" sqref="B6"/>
    </sheetView>
  </sheetViews>
  <sheetFormatPr defaultRowHeight="14.5" x14ac:dyDescent="0.35"/>
  <cols>
    <col min="1" max="1" width="20.36328125" customWidth="1"/>
    <col min="2" max="2" width="30.5429687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187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185</v>
      </c>
      <c r="B5" t="s">
        <v>188</v>
      </c>
      <c r="C5" t="str">
        <f>A5</f>
        <v>PESD2CAN</v>
      </c>
      <c r="D5" t="str">
        <f>CONCATENATE("Schematic\TVS\",E5,".SchLib")</f>
        <v>Schematic\TVS\TVS_2_1dir.SchLib</v>
      </c>
      <c r="E5" t="s">
        <v>186</v>
      </c>
      <c r="F5" t="str">
        <f>CONCATENATE("Footprints\",G5,".PcbLib")</f>
        <v>Footprints\SOT23-3.PcbLib</v>
      </c>
      <c r="G5" t="s">
        <v>18</v>
      </c>
      <c r="K5" t="s">
        <v>184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1"/>
  <sheetViews>
    <sheetView topLeftCell="A160" workbookViewId="0">
      <selection activeCell="H171" sqref="H171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  <row r="171" spans="1:9" ht="15.5" x14ac:dyDescent="0.35">
      <c r="A1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Resistor_120_1_1206</v>
      </c>
      <c r="B171" s="8" t="str">
        <f>CONCATENATE("Резистор номиналом ",Таблица6[[#This Row],[Value]]," Ом и точностью ",Таблица6[[#This Row],[Tolerance]]*100," %")</f>
        <v>Резистор номиналом 120 Ом и точностью 1 %</v>
      </c>
      <c r="C171" s="3" t="s">
        <v>26</v>
      </c>
      <c r="D171" s="3" t="s">
        <v>29</v>
      </c>
      <c r="E171" s="3" t="s">
        <v>26</v>
      </c>
      <c r="F171" s="7">
        <v>120</v>
      </c>
      <c r="G171" s="4">
        <v>0.01</v>
      </c>
      <c r="H171" s="3" t="s">
        <v>192</v>
      </c>
      <c r="I171" s="3" t="s">
        <v>191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48"/>
  <sheetViews>
    <sheetView topLeftCell="A25" workbookViewId="0">
      <selection activeCell="H47" sqref="H47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46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Capacitor_1,2u_10_50V_X7R_0603C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1,2 мк</v>
      </c>
      <c r="G39" s="20">
        <v>0.1</v>
      </c>
      <c r="H39" s="14">
        <v>50</v>
      </c>
      <c r="I39" s="15" t="s">
        <v>158</v>
      </c>
      <c r="J39" s="15" t="str">
        <f t="shared" ref="J39:J46" si="2">CONCATENATE("Footprints\Capacitors\",K39,".PcbLib")</f>
        <v>Footprints\Capacitors\0603C.PcbLib</v>
      </c>
      <c r="K39" s="15" t="s">
        <v>37</v>
      </c>
      <c r="L39" s="14">
        <f t="shared" si="1"/>
        <v>1200</v>
      </c>
    </row>
    <row r="40" spans="1:12" ht="15.5" x14ac:dyDescent="0.35">
      <c r="A40" s="23" t="str">
        <f>CONCATENATE("Capacitor_",IF(Таблица11[[#This Row],[Capacity (n)]]&lt;=0.1,CONCATENATE(L40*1000,"p"),IF(L40&gt;=100,CONCATENATE(L40/1000,"u"),CONCATENATE(L40,"n"))),"_",G40*100,"_",H40,"V_",I40,"_",K40)</f>
        <v>Capacitor_1,5u_10_50V_X7R_0603C</v>
      </c>
      <c r="B40" s="15" t="s">
        <v>28</v>
      </c>
      <c r="C40" s="15" t="s">
        <v>27</v>
      </c>
      <c r="D40" s="15" t="s">
        <v>30</v>
      </c>
      <c r="E40" s="15" t="s">
        <v>27</v>
      </c>
      <c r="F40" s="23" t="str">
        <f>IF(Таблица11[[#This Row],[Capacity (n)]]&lt;=0.1,CONCATENATE(L40*1000," п"),IF(L40&gt;=100,CONCATENATE(L40/1000," мк"),CONCATENATE(L40," н")))</f>
        <v>1,5 мк</v>
      </c>
      <c r="G40" s="20">
        <v>0.1</v>
      </c>
      <c r="H40" s="14">
        <v>50</v>
      </c>
      <c r="I40" s="15" t="s">
        <v>158</v>
      </c>
      <c r="J40" s="15" t="str">
        <f t="shared" si="2"/>
        <v>Footprints\Capacitors\0603C.PcbLib</v>
      </c>
      <c r="K40" s="15" t="s">
        <v>37</v>
      </c>
      <c r="L40" s="14">
        <f t="shared" si="1"/>
        <v>1500</v>
      </c>
    </row>
    <row r="41" spans="1:12" ht="15.5" x14ac:dyDescent="0.35">
      <c r="A41" s="23" t="str">
        <f>CONCATENATE("Capacitor_",IF(Таблица11[[#This Row],[Capacity (n)]]&lt;=0.1,CONCATENATE(L41*1000,"p"),IF(L41&gt;=100,CONCATENATE(L41/1000,"u"),CONCATENATE(L41,"n"))),"_",G41*100,"_",H41,"V_",I41,"_",K41)</f>
        <v>Capacitor_1,8u_10_50V_X7R_0603C</v>
      </c>
      <c r="B41" s="15" t="s">
        <v>28</v>
      </c>
      <c r="C41" s="15" t="s">
        <v>27</v>
      </c>
      <c r="D41" s="15" t="s">
        <v>30</v>
      </c>
      <c r="E41" s="15" t="s">
        <v>27</v>
      </c>
      <c r="F41" s="23" t="str">
        <f>IF(Таблица11[[#This Row],[Capacity (n)]]&lt;=0.1,CONCATENATE(L41*1000," п"),IF(L41&gt;=100,CONCATENATE(L41/1000," мк"),CONCATENATE(L41," н")))</f>
        <v>1,8 мк</v>
      </c>
      <c r="G41" s="20">
        <v>0.1</v>
      </c>
      <c r="H41" s="14">
        <v>50</v>
      </c>
      <c r="I41" s="15" t="s">
        <v>158</v>
      </c>
      <c r="J41" s="15" t="str">
        <f t="shared" si="2"/>
        <v>Footprints\Capacitors\0603C.PcbLib</v>
      </c>
      <c r="K41" s="15" t="s">
        <v>37</v>
      </c>
      <c r="L41" s="14">
        <f t="shared" si="1"/>
        <v>1800</v>
      </c>
    </row>
    <row r="42" spans="1:12" ht="15.5" x14ac:dyDescent="0.35">
      <c r="A42" s="23" t="str">
        <f>CONCATENATE("Capacitor_",IF(Таблица11[[#This Row],[Capacity (n)]]&lt;=0.1,CONCATENATE(L42*1000,"p"),IF(L42&gt;=100,CONCATENATE(L42/1000,"u"),CONCATENATE(L42,"n"))),"_",G42*100,"_",H42,"V_",I42,"_",K42)</f>
        <v>Capacitor_2,2u_10_50V_X7R_0603C</v>
      </c>
      <c r="B42" s="15" t="s">
        <v>28</v>
      </c>
      <c r="C42" s="15" t="s">
        <v>27</v>
      </c>
      <c r="D42" s="15" t="s">
        <v>30</v>
      </c>
      <c r="E42" s="15" t="s">
        <v>27</v>
      </c>
      <c r="F42" s="23" t="str">
        <f>IF(Таблица11[[#This Row],[Capacity (n)]]&lt;=0.1,CONCATENATE(L42*1000," п"),IF(L42&gt;=100,CONCATENATE(L42/1000," мк"),CONCATENATE(L42," н")))</f>
        <v>2,2 мк</v>
      </c>
      <c r="G42" s="20">
        <v>0.1</v>
      </c>
      <c r="H42" s="14">
        <v>50</v>
      </c>
      <c r="I42" s="15" t="s">
        <v>158</v>
      </c>
      <c r="J42" s="15" t="str">
        <f t="shared" si="2"/>
        <v>Footprints\Capacitors\0603C.PcbLib</v>
      </c>
      <c r="K42" s="15" t="s">
        <v>37</v>
      </c>
      <c r="L42" s="14">
        <f t="shared" si="1"/>
        <v>2200</v>
      </c>
    </row>
    <row r="43" spans="1:12" ht="15.5" x14ac:dyDescent="0.35">
      <c r="A43" s="23" t="str">
        <f>CONCATENATE("Capacitor_",IF(Таблица11[[#This Row],[Capacity (n)]]&lt;=0.1,CONCATENATE(L43*1000,"p"),IF(L43&gt;=100,CONCATENATE(L43/1000,"u"),CONCATENATE(L43,"n"))),"_",G43*100,"_",H43,"V_",I43,"_",K43)</f>
        <v>Capacitor_2,7u_10_50V_X7R_0603C</v>
      </c>
      <c r="B43" s="15" t="s">
        <v>28</v>
      </c>
      <c r="C43" s="15" t="s">
        <v>27</v>
      </c>
      <c r="D43" s="15" t="s">
        <v>30</v>
      </c>
      <c r="E43" s="15" t="s">
        <v>27</v>
      </c>
      <c r="F43" s="23" t="str">
        <f>IF(Таблица11[[#This Row],[Capacity (n)]]&lt;=0.1,CONCATENATE(L43*1000," п"),IF(L43&gt;=100,CONCATENATE(L43/1000," мк"),CONCATENATE(L43," н")))</f>
        <v>2,7 мк</v>
      </c>
      <c r="G43" s="20">
        <v>0.1</v>
      </c>
      <c r="H43" s="14">
        <v>50</v>
      </c>
      <c r="I43" s="15" t="s">
        <v>158</v>
      </c>
      <c r="J43" s="15" t="str">
        <f t="shared" si="2"/>
        <v>Footprints\Capacitors\0603C.PcbLib</v>
      </c>
      <c r="K43" s="15" t="s">
        <v>37</v>
      </c>
      <c r="L43" s="14">
        <f t="shared" si="1"/>
        <v>2700</v>
      </c>
    </row>
    <row r="44" spans="1:12" ht="15.5" x14ac:dyDescent="0.35">
      <c r="A44" s="23" t="str">
        <f>CONCATENATE("Capacitor_",IF(Таблица11[[#This Row],[Capacity (n)]]&lt;=0.1,CONCATENATE(L44*1000,"p"),IF(L44&gt;=100,CONCATENATE(L44/1000,"u"),CONCATENATE(L44,"n"))),"_",G44*100,"_",H44,"V_",I44,"_",K44)</f>
        <v>Capacitor_3,3u_10_50V_X7R_0603C</v>
      </c>
      <c r="B44" s="15" t="s">
        <v>28</v>
      </c>
      <c r="C44" s="15" t="s">
        <v>27</v>
      </c>
      <c r="D44" s="15" t="s">
        <v>30</v>
      </c>
      <c r="E44" s="15" t="s">
        <v>27</v>
      </c>
      <c r="F44" s="23" t="str">
        <f>IF(Таблица11[[#This Row],[Capacity (n)]]&lt;=0.1,CONCATENATE(L44*1000," п"),IF(L44&gt;=100,CONCATENATE(L44/1000," мк"),CONCATENATE(L44," н")))</f>
        <v>3,3 мк</v>
      </c>
      <c r="G44" s="20">
        <v>0.1</v>
      </c>
      <c r="H44" s="14">
        <v>50</v>
      </c>
      <c r="I44" s="15" t="s">
        <v>158</v>
      </c>
      <c r="J44" s="15" t="str">
        <f t="shared" si="2"/>
        <v>Footprints\Capacitors\0603C.PcbLib</v>
      </c>
      <c r="K44" s="15" t="s">
        <v>37</v>
      </c>
      <c r="L44" s="14">
        <f t="shared" si="1"/>
        <v>3300</v>
      </c>
    </row>
    <row r="45" spans="1:12" ht="15.5" x14ac:dyDescent="0.35">
      <c r="A45" s="23" t="str">
        <f>CONCATENATE("Capacitor_",IF(Таблица11[[#This Row],[Capacity (n)]]&lt;=0.1,CONCATENATE(L45*1000,"p"),IF(L45&gt;=100,CONCATENATE(L45/1000,"u"),CONCATENATE(L45,"n"))),"_",G45*100,"_",H45,"V_",I45,"_",K45)</f>
        <v>Capacitor_3,9u_10_50V_X7R_0603C</v>
      </c>
      <c r="B45" s="15" t="s">
        <v>28</v>
      </c>
      <c r="C45" s="15" t="s">
        <v>27</v>
      </c>
      <c r="D45" s="15" t="s">
        <v>30</v>
      </c>
      <c r="E45" s="15" t="s">
        <v>27</v>
      </c>
      <c r="F45" s="23" t="str">
        <f>IF(Таблица11[[#This Row],[Capacity (n)]]&lt;=0.1,CONCATENATE(L45*1000," п"),IF(L45&gt;=100,CONCATENATE(L45/1000," мк"),CONCATENATE(L45," н")))</f>
        <v>3,9 мк</v>
      </c>
      <c r="G45" s="20">
        <v>0.1</v>
      </c>
      <c r="H45" s="14">
        <v>50</v>
      </c>
      <c r="I45" s="15" t="s">
        <v>158</v>
      </c>
      <c r="J45" s="15" t="str">
        <f t="shared" si="2"/>
        <v>Footprints\Capacitors\0603C.PcbLib</v>
      </c>
      <c r="K45" s="15" t="s">
        <v>37</v>
      </c>
      <c r="L45" s="14">
        <f t="shared" si="1"/>
        <v>3900</v>
      </c>
    </row>
    <row r="46" spans="1:12" ht="15.5" x14ac:dyDescent="0.35">
      <c r="A46" s="23" t="str">
        <f>CONCATENATE("Capacitor_",IF(Таблица11[[#This Row],[Capacity (n)]]&lt;=0.1,CONCATENATE(L46*1000,"p"),IF(L46&gt;=100,CONCATENATE(L46/1000,"u"),CONCATENATE(L46,"n"))),"_",G46*100,"_",H46,"V_",I46,"_",K46)</f>
        <v>Capacitor_4,7u_10_50V_X7R_0805C</v>
      </c>
      <c r="B46" s="15" t="s">
        <v>28</v>
      </c>
      <c r="C46" s="15" t="s">
        <v>27</v>
      </c>
      <c r="D46" s="15" t="s">
        <v>30</v>
      </c>
      <c r="E46" s="15" t="s">
        <v>27</v>
      </c>
      <c r="F46" s="23" t="str">
        <f>IF(Таблица11[[#This Row],[Capacity (n)]]&lt;=0.1,CONCATENATE(L46*1000," п"),IF(L46&gt;=100,CONCATENATE(L46/1000," мк"),CONCATENATE(L46," н")))</f>
        <v>4,7 мк</v>
      </c>
      <c r="G46" s="20">
        <v>0.1</v>
      </c>
      <c r="H46" s="14">
        <v>50</v>
      </c>
      <c r="I46" s="15" t="s">
        <v>158</v>
      </c>
      <c r="J46" s="15" t="str">
        <f t="shared" si="2"/>
        <v>Footprints\Capacitors\0805C.PcbLib</v>
      </c>
      <c r="K46" s="15" t="s">
        <v>38</v>
      </c>
      <c r="L46" s="14">
        <f t="shared" si="1"/>
        <v>4700</v>
      </c>
    </row>
    <row r="47" spans="1:12" ht="15.5" x14ac:dyDescent="0.35">
      <c r="A47" s="23" t="str">
        <f>CONCATENATE("Capacitor_",IF(Таблица11[[#This Row],[Capacity (n)]]&lt;=0.1,CONCATENATE(L47*1000,"p"),IF(L47&gt;=100,CONCATENATE(L47/1000,"u"),CONCATENATE(L47,"n"))),"_",G47*100,"_",H47,"V_",I47,"_",K47)</f>
        <v>Capacitor_10u_10_25V_X7R_0805C</v>
      </c>
      <c r="B47" s="15" t="s">
        <v>28</v>
      </c>
      <c r="C47" s="15" t="s">
        <v>27</v>
      </c>
      <c r="D47" s="15" t="s">
        <v>30</v>
      </c>
      <c r="E47" s="15" t="s">
        <v>27</v>
      </c>
      <c r="F47" s="23" t="str">
        <f>IF(Таблица11[[#This Row],[Capacity (n)]]&lt;=0.1,CONCATENATE(L47*1000," п"),IF(L47&gt;=100,CONCATENATE(L47/1000," мк"),CONCATENATE(L47," н")))</f>
        <v>10 мк</v>
      </c>
      <c r="G47" s="20">
        <v>0.1</v>
      </c>
      <c r="H47" s="14">
        <v>25</v>
      </c>
      <c r="I47" s="15" t="s">
        <v>158</v>
      </c>
      <c r="J47" s="15" t="str">
        <f t="shared" ref="J47" si="3">CONCATENATE("Footprints\Capacitors\",K47,".PcbLib")</f>
        <v>Footprints\Capacitors\0805C.PcbLib</v>
      </c>
      <c r="K47" s="15" t="s">
        <v>38</v>
      </c>
      <c r="L47" s="14">
        <v>10000</v>
      </c>
    </row>
    <row r="48" spans="1:12" ht="15.5" x14ac:dyDescent="0.35">
      <c r="A48" s="23" t="str">
        <f>CONCATENATE("Capacitor_",IF(Таблица11[[#This Row],[Capacity (n)]]&lt;=0.1,CONCATENATE(L48*1000,"p"),IF(L48&gt;=100,CONCATENATE(L48/1000,"u"),CONCATENATE(L48,"n"))),"_",G48*100,"_",H48,"V_",I48,"_",K48)</f>
        <v>Capacitor_12p_10_50V_NP0_0603C</v>
      </c>
      <c r="B48" s="15" t="s">
        <v>28</v>
      </c>
      <c r="C48" s="15" t="s">
        <v>27</v>
      </c>
      <c r="D48" s="15" t="s">
        <v>30</v>
      </c>
      <c r="E48" s="15" t="s">
        <v>27</v>
      </c>
      <c r="F48" s="23" t="str">
        <f>IF(Таблица11[[#This Row],[Capacity (n)]]&lt;=0.1,CONCATENATE(L48*1000," п"),IF(L48&gt;=100,CONCATENATE(L48/1000," мк"),CONCATENATE(L48," н")))</f>
        <v>12 п</v>
      </c>
      <c r="G48" s="20">
        <v>0.1</v>
      </c>
      <c r="H48" s="14">
        <v>50</v>
      </c>
      <c r="I48" s="15" t="s">
        <v>172</v>
      </c>
      <c r="J48" s="15" t="str">
        <f t="shared" ref="J48" si="4">CONCATENATE("Footprints\Capacitors\",K48,".PcbLib")</f>
        <v>Footprints\Capacitors\0603C.PcbLib</v>
      </c>
      <c r="K48" s="15" t="s">
        <v>37</v>
      </c>
      <c r="L48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abSelected="1" topLeftCell="B1" workbookViewId="0">
      <selection activeCell="K14" sqref="K14"/>
    </sheetView>
  </sheetViews>
  <sheetFormatPr defaultRowHeight="14.5" x14ac:dyDescent="0.35"/>
  <cols>
    <col min="1" max="1" width="46.1796875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47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Capacitor_100u_10_10V_TC_C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10</v>
      </c>
      <c r="I14" s="5" t="s">
        <v>162</v>
      </c>
      <c r="J14" s="5" t="str">
        <f t="shared" si="2"/>
        <v>Footprints\Capacitors\TC_C.PcbLib</v>
      </c>
      <c r="K14" s="5" t="s">
        <v>123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Capacitor_470u_10_50V_RADIAL-2_10MM</v>
      </c>
      <c r="B18" s="5" t="s">
        <v>190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Footprints\Capacitors\RADIAL-2_10MM.PcbLib</v>
      </c>
      <c r="K18" s="5" t="s">
        <v>189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I3"/>
  <sheetViews>
    <sheetView topLeftCell="B1" workbookViewId="0">
      <selection activeCell="I4" sqref="I4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</row>
    <row r="2" spans="1:9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9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7" sqref="G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120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>A6</f>
        <v>Jumper</v>
      </c>
      <c r="D6" s="7" t="str">
        <f>CONCATENATE("Schematic\",A6,".SchLib")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2024-11-22T21:14:19Z</dcterms:modified>
</cp:coreProperties>
</file>
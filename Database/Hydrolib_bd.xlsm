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4605DE3-2C19-4356-9F0A-DF0B3185DA7C}" xr6:coauthVersionLast="47" xr6:coauthVersionMax="47" xr10:uidLastSave="{00000000-0000-0000-0000-000000000000}"/>
  <bookViews>
    <workbookView xWindow="-110" yWindow="-110" windowWidth="25820" windowHeight="14020" firstSheet="2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6" l="1"/>
  <c r="C9" i="6"/>
  <c r="D9" i="6"/>
  <c r="F9" i="6"/>
  <c r="D2" i="5"/>
  <c r="D3" i="5"/>
  <c r="D4" i="5"/>
  <c r="D5" i="5"/>
  <c r="D6" i="5"/>
  <c r="D7" i="5"/>
  <c r="D8" i="5"/>
  <c r="F8" i="5"/>
  <c r="C8" i="5"/>
  <c r="E2" i="5"/>
  <c r="E3" i="5"/>
  <c r="E4" i="5"/>
  <c r="E5" i="5"/>
  <c r="E6" i="5"/>
  <c r="E7" i="5"/>
  <c r="F3" i="5"/>
  <c r="F7" i="5"/>
  <c r="C7" i="5"/>
  <c r="G8" i="6"/>
  <c r="F8" i="6" s="1"/>
  <c r="D8" i="6"/>
  <c r="C8" i="6"/>
  <c r="F4" i="10"/>
  <c r="D4" i="10"/>
  <c r="C4" i="10"/>
  <c r="C14" i="1"/>
  <c r="D14" i="1"/>
  <c r="E14" i="1"/>
  <c r="F14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C5" i="5"/>
  <c r="C4" i="5"/>
  <c r="F2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6AADE08-9019-424A-A242-06EEC34A04B1}" name="Inductance2" type="4" refreshedVersion="0" background="1">
    <webPr xml="1" sourceData="1" url="D:\Sea_Jackal\Gidro\Pioneer\Boards\Libraries clean\Hydrolib\Database\xml\Inductance.xml" htmlTables="1" htmlFormat="all"/>
  </connection>
  <connection id="11" xr16:uid="{2FF60889-90F6-4068-BF81-A15AE486C249}" name="Other" type="4" refreshedVersion="0" background="1">
    <webPr xml="1" sourceData="1" url="C:\Users\1\Desktop\testlib\Готовое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<sst xmlns="http://schemas.openxmlformats.org/spreadsheetml/2006/main" count="1571" uniqueCount="209">
  <si>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</si>
  <si>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</si>
  <si>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</si>
  <si>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</si>
  <si>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</si>
  <si>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</si>
  <si>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</si>
  <si>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</si>
  <si>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</si>
  <si>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</si>
  <si>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</si>
  <si>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</si>
  <si>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</si>
  <si>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</si>
  <si>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</si>
  <si>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</si>
  <si>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</si>
  <si>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</si>
  <si>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</si>
  <si>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</si>
  <si>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</si>
  <si>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</si>
  <si>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</si>
  <si>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</si>
  <si>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</si>
  <si>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</si>
  <si>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</si>
  <si>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</si>
  <si>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</si>
  <si>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</si>
  <si>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</si>
  <si>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</si>
  <si>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</si>
  <si>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</si>
  <si>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</si>
  <si>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</si>
  <si>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</si>
  <si>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</si>
  <si>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</si>
  <si>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</si>
  <si>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</si>
  <si>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</si>
  <si>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</si>
  <si>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</si>
  <si>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</si>
  <si>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</si>
  <si>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</si>
  <si>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</si>
  <si>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</si>
  <si>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</si>
  <si>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</si>
  <si>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</si>
  <si>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</si>
  <si>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</si>
  <si>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</si>
  <si>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</si>
  <si>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</si>
  <si>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</si>
  <si>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</si>
  <si>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</si>
  <si>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</si>
  <si>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</si>
  <si>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</si>
  <si>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</si>
  <si>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</si>
  <si>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</si>
  <si>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</si>
  <si>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</si>
  <si>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</si>
  <si>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</si>
  <si>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</si>
  <si>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</si>
  <si>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</si>
  <si>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</si>
  <si>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</si>
  <si>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</si>
  <si>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</si>
  <si>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</si>
  <si>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</si>
  <si>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</si>
  <si>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</si>
  <si>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</si>
  <si>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</si>
  <si>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</si>
  <si>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</si>
  <si>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</si>
  <si>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</si>
  <si>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</si>
  <si>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</si>
  <si>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</si>
  <si>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</si>
  <si>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</si>
  <si>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</si>
  <si>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</si>
  <si>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</si>
  <si>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</si>
  <si>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</si>
  <si>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</si>
  <si>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</si>
  <si>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</si>
  <si>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</si>
  <si>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</si>
  <si>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</si>
  <si>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</si>
  <si>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</si>
  <si>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</si>
  <si>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</si>
  <si>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</si>
  <si>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</si>
  <si>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</si>
  <si>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</si>
  <si>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</si>
  <si>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</si>
  <si>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</si>
  <si>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</si>
  <si>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</si>
  <si>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</si>
  <si>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</si>
  <si>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</si>
  <si>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</si>
  <si>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</si>
  <si>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</si>
  <si>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</si>
  <si>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</si>
  <si>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</si>
  <si>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</si>
  <si>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</si>
  <si>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</si>
  <si>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</si>
  <si>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</si>
  <si>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</si>
  <si>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</si>
  <si>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</si>
  <si>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</si>
  <si>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</si>
  <si>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</si>
  <si>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</si>
  <si>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</si>
  <si>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</si>
  <si>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</si>
  <si>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</si>
  <si>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</si>
  <si>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</si>
  <si>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</si>
  <si>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</si>
  <si>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</si>
  <si>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</si>
  <si>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</si>
  <si>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</si>
  <si>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</si>
  <si>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</si>
  <si>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</si>
  <si>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</si>
  <si>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</si>
  <si>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</si>
  <si>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</si>
  <si>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</si>
  <si>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</si>
  <si>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</si>
  <si>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</si>
  <si>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</si>
  <si>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</si>
  <si>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</si>
  <si>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</si>
  <si>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</si>
  <si>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</si>
  <si>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</si>
  <si>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</si>
  <si>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</si>
  <si>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</si>
  <si>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</si>
  <si>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</si>
  <si>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</si>
  <si>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</si>
  <si>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</si>
  <si>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</si>
  <si>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</si>
  <si>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</si>
  <si>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</si>
  <si>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</si>
  <si>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</si>
  <si>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</si>
  <si>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</si>
  <si>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</si>
  <si>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</si>
  <si>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</si>
  <si>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</si>
  <si>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</si>
  <si>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</si>
  <si>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</si>
  <si>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</si>
  <si>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1206R</t>
  </si>
  <si>
    <t>Footprints/Resistors/1206R.PcbLib</t>
  </si>
  <si>
    <t>MC74AC125DR2</t>
  </si>
  <si>
    <t>SOIC-14</t>
  </si>
  <si>
    <t>68</t>
  </si>
  <si>
    <t>68 мк</t>
  </si>
  <si>
    <t>10x10L</t>
  </si>
  <si>
    <t>Current (mA)</t>
  </si>
  <si>
    <t>CDRH104NP-680MC</t>
  </si>
  <si>
    <t>CWF-6</t>
  </si>
  <si>
    <t>Conn_6pin</t>
  </si>
  <si>
    <t>6-пиновый разъем с ключом</t>
  </si>
  <si>
    <t>WP934MD-LILGD</t>
  </si>
  <si>
    <t>Два угловых светодиода</t>
  </si>
  <si>
    <t>LED_ANGULAR_2</t>
  </si>
  <si>
    <t>LED_ANGULAR</t>
  </si>
  <si>
    <t>Угловой светодиод</t>
  </si>
  <si>
    <t>CWF-6R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</si>
</sst>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Inductance" form="unqualified"/>
                  <xsd:element minOccurs="0" nillable="true" type="xsd:string" name="Value" form="unqualified"/>
                  <xsd:element minOccurs="0" nillable="true" type="xsd:integer" name="Current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75" Name="Inductance" RootElement="Inductance" SchemaID="Schema14" ShowImportExportValidationErrors="false" AutoFit="true" Append="false" PreserveSortAFLayout="true" PreserveFormat="true">
    <DataBinding FileBinding="true" ConnectionID="10" DataBindingLoadMode="1"/>
  </Map>
  <Map ID="11" Name="Other" RootElement="Other" SchemaID="Schema11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104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4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7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6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5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3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J4" tableType="xml" totalsRowShown="0" headerRowDxfId="16" connectionId="10">
  <autoFilter ref="A1:J4" xr:uid="{495ACB2B-3C85-4F71-84FF-CAC97F2B3EF2}"/>
  <tableColumns count="10">
    <tableColumn id="1" xr3:uid="{4F8F63B8-3A4B-4AE4-B421-1BAE93F6BD1F}" uniqueName="PartNumber" name="Part Number">
      <xmlColumnPr mapId="75" xpath="/Inductance/Part/PartNumber" xmlDataType="string"/>
    </tableColumn>
    <tableColumn id="2" xr3:uid="{F21E8DDA-9A5D-4FAB-8B15-416C8B37F128}" uniqueName="Description" name="Description">
      <xmlColumnPr mapId="75" xpath="/Inductance/Part/Description" xmlDataType="string"/>
    </tableColumn>
    <tableColumn id="3" xr3:uid="{31E5D42E-C1C1-47D6-BF83-ADB5E383E42F}" uniqueName="Comment" name="Comment">
      <calculatedColumnFormula>A2</calculatedColumnFormula>
      <xmlColumnPr mapId="75" xpath="/Inductance/Part/Comment" xmlDataType="string"/>
    </tableColumn>
    <tableColumn id="4" xr3:uid="{7C7FE73A-35EF-44CB-A066-BD67518B756B}" uniqueName="LibraryPath" name="Library Path" dataDxfId="15">
      <xmlColumnPr mapId="75" xpath="/Inductance/Part/LibraryPath" xmlDataType="string"/>
    </tableColumn>
    <tableColumn id="5" xr3:uid="{93EF5672-D820-4E85-A99E-63FC29E4B3E2}" uniqueName="LibraryRef" name="Library Ref">
      <xmlColumnPr mapId="75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75" xpath="/Inductance/Part/FootprintPath1" xmlDataType="string"/>
    </tableColumn>
    <tableColumn id="7" xr3:uid="{49B409CD-94AC-4F2C-BC5E-E8FF519C8D6F}" uniqueName="FootprintRef1" name="Footprint Ref 1">
      <xmlColumnPr mapId="75" xpath="/Inductance/Part/FootprintRef1" xmlDataType="string"/>
    </tableColumn>
    <tableColumn id="8" xr3:uid="{71017A8D-C83B-4D64-80AC-6C5EC84419D6}" uniqueName="Inductance" name="Inductance (uH)">
      <xmlColumnPr mapId="75" xpath="/Inductance/Part/Inductance" xmlDataType="integer"/>
    </tableColumn>
    <tableColumn id="9" xr3:uid="{C86E75F1-D335-4444-9B57-0EA51020BBA8}" uniqueName="Value" name="Value">
      <xmlColumnPr mapId="75" xpath="/Inductance/Part/Value" xmlDataType="string"/>
    </tableColumn>
    <tableColumn id="10" xr3:uid="{AD126830-B2E8-4781-93DF-9ECA03BA13EE}" uniqueName="Current" name="Current (mA)">
      <xmlColumnPr mapId="75" xpath="/Inductance/Part/Current" xmlDataType="integer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8" tableType="xml" totalsRowShown="0" headerRowDxfId="14" dataDxfId="13" connectionId="11">
  <autoFilter ref="A1:I8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CONCATENATE("Schematic\",Таблица8[[#This Row],[Library Ref]],".SchLib")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9" tableType="xml" totalsRowShown="0" headerRowDxfId="3" connectionId="7">
  <autoFilter ref="A1:G9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G15" sqref="G15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  <row r="14" spans="1:20" x14ac:dyDescent="0.35">
      <c r="A14" t="s">
        <v>193</v>
      </c>
      <c r="B14" t="s">
        <v>183</v>
      </c>
      <c r="C14" s="2" t="str">
        <f>A14</f>
        <v>MC74AC125DR2</v>
      </c>
      <c r="D14" t="str">
        <f>CONCATENATE("Schematic\",A14,".SchLib")</f>
        <v>Schematic\MC74AC125DR2.SchLib</v>
      </c>
      <c r="E14" t="str">
        <f>A14</f>
        <v>MC74AC125DR2</v>
      </c>
      <c r="F14" t="str">
        <f>CONCATENATE("Footprints\",G14,".PcbLib")</f>
        <v>Footprints\SOIC-14.PcbLib</v>
      </c>
      <c r="G14" t="s">
        <v>194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192</v>
      </c>
      <c r="I171" s="3" t="s">
        <v>191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14" sqref="K1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Capacitor_100u_10_10V_TC_C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Footprints\Capacitors\TC_C.PcbLib</v>
      </c>
      <c r="K14" s="5" t="s">
        <v>123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J4"/>
  <sheetViews>
    <sheetView workbookViewId="0">
      <selection activeCell="J1" sqref="J1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2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  <c r="J1" s="1" t="s">
        <v>198</v>
      </c>
    </row>
    <row r="2" spans="1:10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10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  <row r="4" spans="1:10" x14ac:dyDescent="0.35">
      <c r="A4" s="2" t="s">
        <v>199</v>
      </c>
      <c r="B4" s="2" t="s">
        <v>104</v>
      </c>
      <c r="C4" s="2" t="str">
        <f>A4</f>
        <v>CDRH104NP-680MC</v>
      </c>
      <c r="D4" s="2" t="str">
        <f>CONCATENATE("Schematic\",Таблица10[[#This Row],[Library Ref]],".SchLib")</f>
        <v>Schematic\Inductance.SchLib</v>
      </c>
      <c r="E4" s="2" t="s">
        <v>103</v>
      </c>
      <c r="F4" s="2" t="str">
        <f>CONCATENATE("Footprints\Inductance\",G4,".PcbLib")</f>
        <v>Footprints\Inductance\10x10L.PcbLib</v>
      </c>
      <c r="G4" s="2" t="s">
        <v>197</v>
      </c>
      <c r="H4" s="2" t="s">
        <v>195</v>
      </c>
      <c r="I4" s="2" t="s">
        <v>196</v>
      </c>
      <c r="J4">
        <v>930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8"/>
  <sheetViews>
    <sheetView workbookViewId="0">
      <selection activeCell="D8" sqref="D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38.26953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 t="shared" ref="C2:C7" si="0">A2</f>
        <v>Tact_button</v>
      </c>
      <c r="D2" t="str">
        <f>CONCATENATE("Schematic\",Таблица8[[#This Row],[Library Ref]],".SchLib")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 t="shared" si="0"/>
        <v>LED</v>
      </c>
      <c r="D3" t="str">
        <f>CONCATENATE("Schematic\",Таблица8[[#This Row],[Library Ref]],".SchLib")</f>
        <v>Schematic\LED.SchLib</v>
      </c>
      <c r="E3" t="str">
        <f>A3</f>
        <v>LED</v>
      </c>
      <c r="F3" t="str">
        <f>CONCATENATE("Footprints\LED\",G7,".PcbLib")</f>
        <v>Footprints\LED\LED_ANGULAR_2.PcbLib</v>
      </c>
      <c r="G3" t="s">
        <v>120</v>
      </c>
    </row>
    <row r="4" spans="1:20" x14ac:dyDescent="0.35">
      <c r="A4" t="s">
        <v>61</v>
      </c>
      <c r="B4" t="s">
        <v>62</v>
      </c>
      <c r="C4" t="str">
        <f t="shared" si="0"/>
        <v>XTAL</v>
      </c>
      <c r="D4" t="str">
        <f>CONCATENATE("Schematic\",Таблица8[[#This Row],[Library Ref]],".SchLib")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 t="shared" si="0"/>
        <v>XTAL_GND</v>
      </c>
      <c r="D5" t="str">
        <f>CONCATENATE("Schematic\",Таблица8[[#This Row],[Library Ref]],".SchLib")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 t="shared" si="0"/>
        <v>Jumper</v>
      </c>
      <c r="D6" s="7" t="str">
        <f>CONCATENATE("Schematic\",Таблица8[[#This Row],[Library Ref]],".SchLib")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  <row r="7" spans="1:20" x14ac:dyDescent="0.35">
      <c r="A7" s="7" t="s">
        <v>203</v>
      </c>
      <c r="B7" s="7" t="s">
        <v>204</v>
      </c>
      <c r="C7" s="7" t="str">
        <f t="shared" si="0"/>
        <v>WP934MD-LILGD</v>
      </c>
      <c r="D7" s="7" t="str">
        <f>CONCATENATE("Schematic\",Таблица8[[#This Row],[Library Ref]],".SchLib")</f>
        <v>Schematic\WP934MD-LILGD.SchLib</v>
      </c>
      <c r="E7" s="7" t="str">
        <f>Таблица8[[#This Row],[Part Number]]</f>
        <v>WP934MD-LILGD</v>
      </c>
      <c r="F7" s="7" t="str">
        <f>CONCATENATE("Footprints\LED\",G7,".PcbLib")</f>
        <v>Footprints\LED\LED_ANGULAR_2.PcbLib</v>
      </c>
      <c r="G7" s="7" t="s">
        <v>205</v>
      </c>
      <c r="H7" s="7"/>
      <c r="I7" s="7"/>
    </row>
    <row r="8" spans="1:20" x14ac:dyDescent="0.35">
      <c r="A8" s="7" t="s">
        <v>206</v>
      </c>
      <c r="B8" s="7" t="s">
        <v>207</v>
      </c>
      <c r="C8" s="7" t="str">
        <f>A8</f>
        <v>LED_ANGULAR</v>
      </c>
      <c r="D8" s="7" t="str">
        <f>CONCATENATE("Schematic\",Таблица8[[#This Row],[Library Ref]],".SchLib")</f>
        <v>Schematic\LED.SchLib</v>
      </c>
      <c r="E8" s="7" t="s">
        <v>59</v>
      </c>
      <c r="F8" s="7" t="str">
        <f>CONCATENATE("Footprints\LED\",G8,".PcbLib")</f>
        <v>Footprints\LED\LED_ANGULAR.PcbLib</v>
      </c>
      <c r="G8" s="7" t="s">
        <v>206</v>
      </c>
      <c r="H8" s="7"/>
      <c r="I8" s="7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9"/>
  <sheetViews>
    <sheetView tabSelected="1" workbookViewId="0">
      <selection activeCell="A10" sqref="A10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33.5429687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5">
      <c r="A8" t="s">
        <v>200</v>
      </c>
      <c r="B8" t="s">
        <v>202</v>
      </c>
      <c r="C8" s="2" t="str">
        <f>A8</f>
        <v>CWF-6</v>
      </c>
      <c r="D8" s="7" t="str">
        <f>CONCATENATE("Schematic\Connectors\",E8,".SchLib")</f>
        <v>Schematic\Connectors\Conn_6pin.SchLib</v>
      </c>
      <c r="E8" s="2" t="s">
        <v>201</v>
      </c>
      <c r="F8" s="7" t="str">
        <f>CONCATENATE("Footprints\Connectors\",IF(ISNUMBER(FIND("PLS",A8)),"PLS\",),IF(ISNUMBER(FIND("CWF",A8)),"CWF\",),G8,".PcbLib")</f>
        <v>Footprints\Connectors\CWF\CWF-6.PcbLib</v>
      </c>
      <c r="G8" t="str">
        <f>A8</f>
        <v>CWF-6</v>
      </c>
    </row>
    <row r="9" spans="1:9" x14ac:dyDescent="0.35">
      <c r="A9" t="s">
        <v>208</v>
      </c>
      <c r="B9" t="s">
        <v>202</v>
      </c>
      <c r="C9" s="2" t="str">
        <f>A9</f>
        <v>CWF-6R</v>
      </c>
      <c r="D9" s="7" t="str">
        <f>CONCATENATE("Schematic\Connectors\",E9,".SchLib")</f>
        <v>Schematic\Connectors\Conn_6pin.SchLib</v>
      </c>
      <c r="E9" s="2" t="s">
        <v>201</v>
      </c>
      <c r="F9" s="7" t="str">
        <f>CONCATENATE("Footprints\Connectors\",IF(ISNUMBER(FIND("PLS",A9)),"PLS\",),IF(ISNUMBER(FIND("CWF",A9)),"CWF\",),G9,".PcbLib")</f>
        <v>Footprints\Connectors\CWF\CWF-6R.PcbLib</v>
      </c>
      <c r="G9" t="str">
        <f>A9</f>
        <v>CWF-6R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2024-12-08T17:09:16Z</dcterms:modified>
</cp:coreProperties>
</file>
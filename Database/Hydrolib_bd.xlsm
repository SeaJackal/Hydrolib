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6C316058-D09E-4137-BA72-BB24876E17A5}" xr6:coauthVersionLast="47" xr6:coauthVersionMax="47" xr10:uidLastSave="{00000000-0000-0000-0000-000000000000}"/>
  <bookViews>
    <workbookView xWindow="-110" yWindow="-110" windowWidth="25820" windowHeight="14020" firstSheet="2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0" l="1"/>
  <c r="D4" i="10"/>
  <c r="C4" i="10"/>
  <c r="C14" i="1"/>
  <c r="D14" i="1"/>
  <c r="E14" i="1"/>
  <c r="F14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A171" i="2"/>
  <c r="J47" i="11"/>
  <c r="F47" i="11"/>
  <c r="A47" i="11"/>
  <c r="C5" i="8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8" i="11"/>
  <c r="F48" i="11"/>
  <c r="J48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F38" i="2"/>
  <c r="F39" i="2"/>
  <c r="F40" i="2"/>
  <c r="F41" i="2"/>
  <c r="F42" i="2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F166" i="2"/>
  <c r="F165" i="2"/>
  <c r="F164" i="2"/>
  <c r="F163" i="2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F155" i="2"/>
  <c r="A155" i="2" s="1"/>
  <c r="F154" i="2"/>
  <c r="A154" i="2" s="1"/>
  <c r="F153" i="2"/>
  <c r="A153" i="2" s="1"/>
  <c r="F152" i="2"/>
  <c r="F151" i="2"/>
  <c r="F150" i="2"/>
  <c r="F149" i="2"/>
  <c r="F148" i="2"/>
  <c r="F147" i="2"/>
  <c r="F146" i="2"/>
  <c r="A146" i="2" s="1"/>
  <c r="F121" i="2"/>
  <c r="A121" i="2" s="1"/>
  <c r="F119" i="2"/>
  <c r="F118" i="2"/>
  <c r="F117" i="2"/>
  <c r="F108" i="2"/>
  <c r="A108" i="2" s="1"/>
  <c r="F106" i="2"/>
  <c r="A106" i="2" s="1"/>
  <c r="F104" i="2"/>
  <c r="F103" i="2"/>
  <c r="F102" i="2"/>
  <c r="F101" i="2"/>
  <c r="F100" i="2"/>
  <c r="F99" i="2"/>
  <c r="F98" i="2"/>
  <c r="A98" i="2" s="1"/>
  <c r="F96" i="2"/>
  <c r="A96" i="2" s="1"/>
  <c r="F95" i="2"/>
  <c r="A95" i="2" s="1"/>
  <c r="F91" i="2"/>
  <c r="A91" i="2" s="1"/>
  <c r="F90" i="2"/>
  <c r="A90" i="2" s="1"/>
  <c r="F88" i="2"/>
  <c r="F87" i="2"/>
  <c r="F86" i="2"/>
  <c r="F84" i="2"/>
  <c r="F83" i="2"/>
  <c r="F82" i="2"/>
  <c r="A82" i="2" s="1"/>
  <c r="F81" i="2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A68" i="2"/>
  <c r="F134" i="2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A41" i="2"/>
  <c r="F64" i="2"/>
  <c r="A64" i="2" s="1"/>
  <c r="A40" i="2"/>
  <c r="F63" i="2"/>
  <c r="F135" i="2" s="1"/>
  <c r="F61" i="2"/>
  <c r="F133" i="2" s="1"/>
  <c r="F113" i="2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L32" i="11"/>
  <c r="A152" i="2"/>
  <c r="A134" i="2"/>
  <c r="A118" i="2"/>
  <c r="F139" i="2"/>
  <c r="A139" i="2" s="1"/>
  <c r="A102" i="2"/>
  <c r="A100" i="2"/>
  <c r="A81" i="2"/>
  <c r="A65" i="2"/>
  <c r="A54" i="2"/>
  <c r="A115" i="2"/>
  <c r="A116" i="2"/>
  <c r="A113" i="2"/>
  <c r="F142" i="2"/>
  <c r="A104" i="2"/>
  <c r="A88" i="2"/>
  <c r="A72" i="2"/>
  <c r="A56" i="2"/>
  <c r="A135" i="2"/>
  <c r="A119" i="2"/>
  <c r="A103" i="2"/>
  <c r="A87" i="2"/>
  <c r="A71" i="2"/>
  <c r="A55" i="2"/>
  <c r="F129" i="2"/>
  <c r="F145" i="2"/>
  <c r="F89" i="2"/>
  <c r="F105" i="2"/>
  <c r="A165" i="2"/>
  <c r="A149" i="2"/>
  <c r="A133" i="2"/>
  <c r="A117" i="2"/>
  <c r="A101" i="2"/>
  <c r="A69" i="2"/>
  <c r="A53" i="2"/>
  <c r="A148" i="2"/>
  <c r="A84" i="2"/>
  <c r="A52" i="2"/>
  <c r="A164" i="2"/>
  <c r="F131" i="2"/>
  <c r="F107" i="2"/>
  <c r="A163" i="2"/>
  <c r="A147" i="2"/>
  <c r="A99" i="2"/>
  <c r="A83" i="2"/>
  <c r="A67" i="2"/>
  <c r="A51" i="2"/>
  <c r="F132" i="2"/>
  <c r="F92" i="2"/>
  <c r="A66" i="2"/>
  <c r="A50" i="2"/>
  <c r="F109" i="2"/>
  <c r="F94" i="2"/>
  <c r="F110" i="2"/>
  <c r="F93" i="2"/>
  <c r="F111" i="2"/>
  <c r="A79" i="2"/>
  <c r="A63" i="2"/>
  <c r="F136" i="2"/>
  <c r="F112" i="2"/>
  <c r="A62" i="2"/>
  <c r="F137" i="2"/>
  <c r="F168" i="2"/>
  <c r="A125" i="2"/>
  <c r="A61" i="2"/>
  <c r="A124" i="2"/>
  <c r="A60" i="2"/>
  <c r="F169" i="2"/>
  <c r="A59" i="2"/>
  <c r="F140" i="2"/>
  <c r="A58" i="2"/>
  <c r="F141" i="2"/>
  <c r="F85" i="2"/>
  <c r="A73" i="2"/>
  <c r="A57" i="2"/>
  <c r="F15" i="12" l="1"/>
  <c r="A19" i="12"/>
  <c r="F19" i="12"/>
  <c r="A20" i="12"/>
  <c r="F20" i="12"/>
  <c r="A129" i="2"/>
  <c r="F120" i="2"/>
  <c r="A111" i="2"/>
  <c r="A93" i="2"/>
  <c r="A85" i="2"/>
  <c r="A109" i="2"/>
  <c r="A168" i="2"/>
  <c r="A137" i="2"/>
  <c r="A141" i="2"/>
  <c r="A107" i="2"/>
  <c r="F97" i="2"/>
  <c r="A131" i="2"/>
  <c r="A112" i="2"/>
  <c r="A142" i="2"/>
  <c r="A92" i="2"/>
  <c r="A136" i="2"/>
  <c r="A169" i="2"/>
  <c r="A110" i="2"/>
  <c r="A132" i="2"/>
  <c r="A94" i="2"/>
  <c r="A105" i="2"/>
  <c r="A140" i="2"/>
  <c r="A89" i="2"/>
  <c r="A145" i="2"/>
  <c r="A97" i="2" l="1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6AADE08-9019-424A-A242-06EEC34A04B1}" name="Inductance2" type="4" refreshedVersion="0" background="1">
    <webPr xml="1" sourceData="1" url="D:\Sea_Jackal\Gidro\Pioneer\Boards\Libraries clean\Hydrolib\Database\xml\Inductance.xml" htmlTables="1" htmlFormat="all"/>
  </connection>
  <connection id="11" xr16:uid="{2FF60889-90F6-4068-BF81-A15AE486C249}" name="Other" type="4" refreshedVersion="0" background="1">
    <webPr xml="1" sourceData="1" url="C:\Users\1\Desktop\testlib\Готовое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<sst xmlns="http://schemas.openxmlformats.org/spreadsheetml/2006/main" count="1558" uniqueCount="200">
  <si>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</si>
  <si>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</si>
  <si>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</si>
  <si>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</si>
  <si>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</si>
  <si>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</si>
  <si>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</si>
  <si>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</si>
  <si>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</si>
  <si>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</si>
  <si>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</si>
  <si>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</si>
  <si>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</si>
  <si>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</si>
  <si>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</si>
  <si>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</si>
  <si>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</si>
  <si>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</si>
  <si>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</si>
  <si>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</si>
  <si>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</si>
  <si>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</si>
  <si>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</si>
  <si>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</si>
  <si>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</si>
  <si>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</si>
  <si>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</si>
  <si>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</si>
  <si>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</si>
  <si>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</si>
  <si>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</si>
  <si>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</si>
  <si>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</si>
  <si>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</si>
  <si>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</si>
  <si>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</si>
  <si>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</si>
  <si>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</si>
  <si>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</si>
  <si>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</si>
  <si>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</si>
  <si>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</si>
  <si>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</si>
  <si>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</si>
  <si>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</si>
  <si>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</si>
  <si>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</si>
  <si>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</si>
  <si>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</si>
  <si>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</si>
  <si>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</si>
  <si>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</si>
  <si>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</si>
  <si>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</si>
  <si>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</si>
  <si>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</si>
  <si>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</si>
  <si>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</si>
  <si>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</si>
  <si>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</si>
  <si>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</si>
  <si>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</si>
  <si>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</si>
  <si>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</si>
  <si>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</si>
  <si>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</si>
  <si>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</si>
  <si>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</si>
  <si>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</si>
  <si>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</si>
  <si>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</si>
  <si>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</si>
  <si>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</si>
  <si>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</si>
  <si>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</si>
  <si>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</si>
  <si>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</si>
  <si>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</si>
  <si>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</si>
  <si>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</si>
  <si>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</si>
  <si>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</si>
  <si>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</si>
  <si>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</si>
  <si>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</si>
  <si>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</si>
  <si>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</si>
  <si>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</si>
  <si>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</si>
  <si>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</si>
  <si>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</si>
  <si>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</si>
  <si>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</si>
  <si>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</si>
  <si>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</si>
  <si>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</si>
  <si>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</si>
  <si>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</si>
  <si>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</si>
  <si>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</si>
  <si>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</si>
  <si>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</si>
  <si>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</si>
  <si>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</si>
  <si>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</si>
  <si>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</si>
  <si>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</si>
  <si>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</si>
  <si>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</si>
  <si>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</si>
  <si>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</si>
  <si>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</si>
  <si>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</si>
  <si>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</si>
  <si>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</si>
  <si>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</si>
  <si>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</si>
  <si>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</si>
  <si>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</si>
  <si>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</si>
  <si>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</si>
  <si>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</si>
  <si>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</si>
  <si>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</si>
  <si>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</si>
  <si>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</si>
  <si>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</si>
  <si>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</si>
  <si>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</si>
  <si>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</si>
  <si>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</si>
  <si>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</si>
  <si>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</si>
  <si>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</si>
  <si>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</si>
  <si>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</si>
  <si>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</si>
  <si>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</si>
  <si>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</si>
  <si>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</si>
  <si>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</si>
  <si>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</si>
  <si>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</si>
  <si>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</si>
  <si>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</si>
  <si>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</si>
  <si>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</si>
  <si>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</si>
  <si>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</si>
  <si>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</si>
  <si>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</si>
  <si>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</si>
  <si>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</si>
  <si>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</si>
  <si>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</si>
  <si>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</si>
  <si>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</si>
  <si>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</si>
  <si>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</si>
  <si>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</si>
  <si>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</si>
  <si>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</si>
  <si>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</si>
  <si>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</si>
  <si>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</si>
  <si>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</si>
  <si>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</si>
  <si>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</si>
  <si>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</si>
  <si>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</si>
  <si>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</si>
  <si>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</si>
  <si>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</si>
  <si>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</si>
  <si>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</si>
  <si>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</si>
  <si>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</si>
  <si>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</si>
  <si>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</si>
  <si>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</si>
  <si>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</si>
  <si>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</si>
  <si>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</si>
  <si>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</si>
  <si>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</si>
  <si>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</si>
  <si>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</si>
  <si>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</si>
  <si>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</si>
  <si>
    <t>RADIAL-2_10MM</t>
  </si>
  <si>
    <t>Электролитический конденсатор</t>
  </si>
  <si>
    <t>1206R</t>
  </si>
  <si>
    <t>Footprints/Resistors/1206R.PcbLib</t>
  </si>
  <si>
    <t>MC74AC125DR2</t>
  </si>
  <si>
    <t>SOIC-14</t>
  </si>
  <si>
    <t>68</t>
  </si>
  <si>
    <t>68 мк</t>
  </si>
  <si>
    <t>10x10L</t>
  </si>
  <si>
    <t>Current (mA)</t>
  </si>
  <si>
    <t>CDRH104NP-680MC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</si>
</sst>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Inductance" form="unqualified"/>
                  <xsd:element minOccurs="0" nillable="true" type="xsd:string" name="Value" form="unqualified"/>
                  <xsd:element minOccurs="0" nillable="true" type="xsd:integer" name="Current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75" Name="Inductance" RootElement="Inductance" SchemaID="Schema14" ShowImportExportValidationErrors="false" AutoFit="true" Append="false" PreserveSortAFLayout="true" PreserveFormat="true">
    <DataBinding FileBinding="true" ConnectionID="10" DataBindingLoadMode="1"/>
  </Map>
  <Map ID="11" Name="Other" RootElement="Other" SchemaID="Schema11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104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4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7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6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5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83" dataDxfId="82" connectionId="13">
  <autoFilter ref="A1:I171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8" tableType="xml" totalsRowShown="0" headerRowDxfId="50" dataDxfId="48" headerRowBorderDxfId="49" tableBorderDxfId="47" totalsRowBorderDxfId="46" connectionId="2">
  <autoFilter ref="A1:L48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J4" tableType="xml" totalsRowShown="0" headerRowDxfId="16" connectionId="10">
  <autoFilter ref="A1:J4" xr:uid="{495ACB2B-3C85-4F71-84FF-CAC97F2B3EF2}"/>
  <tableColumns count="10">
    <tableColumn id="1" xr3:uid="{4F8F63B8-3A4B-4AE4-B421-1BAE93F6BD1F}" uniqueName="PartNumber" name="Part Number">
      <xmlColumnPr mapId="75" xpath="/Inductance/Part/PartNumber" xmlDataType="string"/>
    </tableColumn>
    <tableColumn id="2" xr3:uid="{F21E8DDA-9A5D-4FAB-8B15-416C8B37F128}" uniqueName="Description" name="Description">
      <xmlColumnPr mapId="75" xpath="/Inductance/Part/Description" xmlDataType="string"/>
    </tableColumn>
    <tableColumn id="3" xr3:uid="{31E5D42E-C1C1-47D6-BF83-ADB5E383E42F}" uniqueName="Comment" name="Comment">
      <calculatedColumnFormula>A2</calculatedColumnFormula>
      <xmlColumnPr mapId="75" xpath="/Inductance/Part/Comment" xmlDataType="string"/>
    </tableColumn>
    <tableColumn id="4" xr3:uid="{7C7FE73A-35EF-44CB-A066-BD67518B756B}" uniqueName="LibraryPath" name="Library Path" dataDxfId="15">
      <xmlColumnPr mapId="75" xpath="/Inductance/Part/LibraryPath" xmlDataType="string"/>
    </tableColumn>
    <tableColumn id="5" xr3:uid="{93EF5672-D820-4E85-A99E-63FC29E4B3E2}" uniqueName="LibraryRef" name="Library Ref">
      <xmlColumnPr mapId="75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75" xpath="/Inductance/Part/FootprintPath1" xmlDataType="string"/>
    </tableColumn>
    <tableColumn id="7" xr3:uid="{49B409CD-94AC-4F2C-BC5E-E8FF519C8D6F}" uniqueName="FootprintRef1" name="Footprint Ref 1">
      <xmlColumnPr mapId="75" xpath="/Inductance/Part/FootprintRef1" xmlDataType="string"/>
    </tableColumn>
    <tableColumn id="8" xr3:uid="{71017A8D-C83B-4D64-80AC-6C5EC84419D6}" uniqueName="Inductance" name="Inductance (uH)">
      <xmlColumnPr mapId="75" xpath="/Inductance/Part/Inductance" xmlDataType="integer"/>
    </tableColumn>
    <tableColumn id="9" xr3:uid="{C86E75F1-D335-4444-9B57-0EA51020BBA8}" uniqueName="Value" name="Value">
      <xmlColumnPr mapId="75" xpath="/Inductance/Part/Value" xmlDataType="string"/>
    </tableColumn>
    <tableColumn id="10" xr3:uid="{AD126830-B2E8-4781-93DF-9ECA03BA13EE}" uniqueName="Current" name="Current (mA)">
      <xmlColumnPr mapId="75" xpath="/Inductance/Part/Current" xmlDataType="integer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1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15" sqref="G15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  <row r="14" spans="1:20" x14ac:dyDescent="0.35">
      <c r="A14" t="s">
        <v>193</v>
      </c>
      <c r="B14" t="s">
        <v>183</v>
      </c>
      <c r="C14" s="2" t="str">
        <f>A14</f>
        <v>MC74AC125DR2</v>
      </c>
      <c r="D14" t="str">
        <f>CONCATENATE("Schematic\",A14,".SchLib")</f>
        <v>Schematic\MC74AC125DR2.SchLib</v>
      </c>
      <c r="E14" t="str">
        <f>A14</f>
        <v>MC74AC125DR2</v>
      </c>
      <c r="F14" t="str">
        <f>CONCATENATE("Footprints\",G14,".PcbLib")</f>
        <v>Footprints\SOIC-14.PcbLib</v>
      </c>
      <c r="G14" t="s">
        <v>194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1"/>
  <sheetViews>
    <sheetView topLeftCell="A160" workbookViewId="0">
      <selection activeCell="H171" sqref="H171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  <row r="171" spans="1:9" ht="15.5" x14ac:dyDescent="0.35">
      <c r="A1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Resistor_120_1_1206</v>
      </c>
      <c r="B171" s="8" t="str">
        <f>CONCATENATE("Резистор номиналом ",Таблица6[[#This Row],[Value]]," Ом и точностью ",Таблица6[[#This Row],[Tolerance]]*100," %")</f>
        <v>Резистор номиналом 120 Ом и точностью 1 %</v>
      </c>
      <c r="C171" s="3" t="s">
        <v>26</v>
      </c>
      <c r="D171" s="3" t="s">
        <v>29</v>
      </c>
      <c r="E171" s="3" t="s">
        <v>26</v>
      </c>
      <c r="F171" s="7">
        <v>120</v>
      </c>
      <c r="G171" s="4">
        <v>0.01</v>
      </c>
      <c r="H171" s="3" t="s">
        <v>192</v>
      </c>
      <c r="I171" s="3" t="s">
        <v>191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8"/>
  <sheetViews>
    <sheetView topLeftCell="A25" workbookViewId="0">
      <selection activeCell="H47" sqref="H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Capacitor_10u_10_25V_X7R_0805C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10 мк</v>
      </c>
      <c r="G47" s="20">
        <v>0.1</v>
      </c>
      <c r="H47" s="14">
        <v>25</v>
      </c>
      <c r="I47" s="15" t="s">
        <v>158</v>
      </c>
      <c r="J47" s="15" t="str">
        <f t="shared" ref="J47" si="3">CONCATENATE("Footprints\Capacitors\",K47,".PcbLib")</f>
        <v>Footprints\Capacitors\0805C.PcbLib</v>
      </c>
      <c r="K47" s="15" t="s">
        <v>38</v>
      </c>
      <c r="L47" s="14">
        <v>10000</v>
      </c>
    </row>
    <row r="48" spans="1:12" ht="15.5" x14ac:dyDescent="0.35">
      <c r="A48" s="23" t="str">
        <f>CONCATENATE("Capacitor_",IF(Таблица11[[#This Row],[Capacity (n)]]&lt;=0.1,CONCATENATE(L48*1000,"p"),IF(L48&gt;=100,CONCATENATE(L48/1000,"u"),CONCATENATE(L48,"n"))),"_",G48*100,"_",H48,"V_",I48,"_",K48)</f>
        <v>Capacitor_12p_10_50V_NP0_0603C</v>
      </c>
      <c r="B48" s="15" t="s">
        <v>28</v>
      </c>
      <c r="C48" s="15" t="s">
        <v>27</v>
      </c>
      <c r="D48" s="15" t="s">
        <v>30</v>
      </c>
      <c r="E48" s="15" t="s">
        <v>27</v>
      </c>
      <c r="F48" s="23" t="str">
        <f>IF(Таблица11[[#This Row],[Capacity (n)]]&lt;=0.1,CONCATENATE(L48*1000," п"),IF(L48&gt;=100,CONCATENATE(L48/1000," мк"),CONCATENATE(L48," н")))</f>
        <v>12 п</v>
      </c>
      <c r="G48" s="20">
        <v>0.1</v>
      </c>
      <c r="H48" s="14">
        <v>50</v>
      </c>
      <c r="I48" s="15" t="s">
        <v>172</v>
      </c>
      <c r="J48" s="15" t="str">
        <f t="shared" ref="J48" si="4">CONCATENATE("Footprints\Capacitors\",K48,".PcbLib")</f>
        <v>Footprints\Capacitors\0603C.PcbLib</v>
      </c>
      <c r="K48" s="15" t="s">
        <v>37</v>
      </c>
      <c r="L48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14" sqref="K14"/>
    </sheetView>
  </sheetViews>
  <sheetFormatPr defaultRowHeight="14.5" x14ac:dyDescent="0.35"/>
  <cols>
    <col min="1" max="1" width="46.1796875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47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Capacitor_100u_10_10V_TC_C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10</v>
      </c>
      <c r="I14" s="5" t="s">
        <v>162</v>
      </c>
      <c r="J14" s="5" t="str">
        <f t="shared" si="2"/>
        <v>Footprints\Capacitors\TC_C.PcbLib</v>
      </c>
      <c r="K14" s="5" t="s">
        <v>123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Capacitor_470u_10_50V_RADIAL-2_10MM</v>
      </c>
      <c r="B18" s="5" t="s">
        <v>190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Footprints\Capacitors\RADIAL-2_10MM.PcbLib</v>
      </c>
      <c r="K18" s="5" t="s">
        <v>189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J4"/>
  <sheetViews>
    <sheetView workbookViewId="0">
      <selection activeCell="J1" sqref="J1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2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  <c r="J1" s="1" t="s">
        <v>198</v>
      </c>
    </row>
    <row r="2" spans="1:10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10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  <row r="4" spans="1:10" x14ac:dyDescent="0.35">
      <c r="A4" s="2" t="s">
        <v>199</v>
      </c>
      <c r="B4" s="2" t="s">
        <v>104</v>
      </c>
      <c r="C4" s="2" t="str">
        <f>A4</f>
        <v>CDRH104NP-680MC</v>
      </c>
      <c r="D4" s="2" t="str">
        <f>CONCATENATE("Schematic\",Таблица10[[#This Row],[Library Ref]],".SchLib")</f>
        <v>Schematic\Inductance.SchLib</v>
      </c>
      <c r="E4" s="2" t="s">
        <v>103</v>
      </c>
      <c r="F4" s="2" t="str">
        <f>CONCATENATE("Footprints\Inductance\",G4,".PcbLib")</f>
        <v>Footprints\Inductance\10x10L.PcbLib</v>
      </c>
      <c r="G4" s="2" t="s">
        <v>197</v>
      </c>
      <c r="H4" s="2" t="s">
        <v>195</v>
      </c>
      <c r="I4" s="2" t="s">
        <v>196</v>
      </c>
      <c r="J4">
        <v>930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2024-11-24T16:50:29Z</dcterms:modified>
</cp:coreProperties>
</file>